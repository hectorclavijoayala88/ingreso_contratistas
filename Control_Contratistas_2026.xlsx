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" sheetId="1" state="visible" r:id="rId1"/>
    <sheet name="ENE_QUE" sheetId="2" state="visible" r:id="rId2"/>
    <sheet name="FEB_QUE" sheetId="3" state="visible" r:id="rId3"/>
    <sheet name="MAR_QUE" sheetId="4" state="visible" r:id="rId4"/>
    <sheet name="ABR_QUE" sheetId="5" state="visible" r:id="rId5"/>
    <sheet name="MAY_QUE" sheetId="6" state="visible" r:id="rId6"/>
    <sheet name="JUN_QUE" sheetId="7" state="visible" r:id="rId7"/>
    <sheet name="JUL_QUE" sheetId="8" state="visible" r:id="rId8"/>
    <sheet name="AGO_QUE" sheetId="9" state="visible" r:id="rId9"/>
    <sheet name="SEP_QUE" sheetId="10" state="visible" r:id="rId10"/>
    <sheet name="OCT_QUE" sheetId="11" state="visible" r:id="rId11"/>
    <sheet name="NOV_QUE" sheetId="12" state="visible" r:id="rId12"/>
    <sheet name="DIC_Q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1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843C0C"/>
      <sz val="10"/>
    </font>
    <font>
      <name val="Arial"/>
      <b val="1"/>
      <color rgb="00375623"/>
      <sz val="10"/>
    </font>
    <font>
      <name val="Arial"/>
      <i val="1"/>
      <color rgb="00666666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5" borderId="1" pivotButton="0" quotePrefix="0" xfId="0"/>
    <xf numFmtId="0" fontId="8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32" customWidth="1" min="3" max="3"/>
    <col width="18" customWidth="1" min="4" max="4"/>
  </cols>
  <sheetData>
    <row r="1" ht="30" customHeight="1">
      <c r="A1" s="1" t="inlineStr">
        <is>
          <t>PLANTABAL S.A. / 3A CORE MATERIALS</t>
        </is>
      </c>
    </row>
    <row r="2" ht="18" customHeight="1">
      <c r="A2" s="2" t="inlineStr">
        <is>
          <t>Lista Maestra de Contratistas — Control de Acceso</t>
        </is>
      </c>
    </row>
    <row r="3" ht="18" customHeight="1">
      <c r="A3" s="3" t="inlineStr">
        <is>
          <t>Responsable: Héctor Clavijo  |  Planta: Quevedo y Santo Domingo</t>
        </is>
      </c>
    </row>
    <row r="4" ht="36" customHeight="1">
      <c r="A4" s="4" t="inlineStr">
        <is>
          <t>N°</t>
        </is>
      </c>
      <c r="B4" s="4" t="inlineStr">
        <is>
          <t>Nombre de la Contratista</t>
        </is>
      </c>
      <c r="C4" s="4" t="inlineStr">
        <is>
          <t>Nombre del Encargado</t>
        </is>
      </c>
      <c r="D4" s="4" t="inlineStr">
        <is>
          <t>Estado</t>
        </is>
      </c>
    </row>
    <row r="5" ht="18" customHeight="1">
      <c r="A5" s="5" t="n">
        <v>1</v>
      </c>
      <c r="B5" s="6" t="inlineStr">
        <is>
          <t>FRANKMETAL S.A.S.</t>
        </is>
      </c>
      <c r="C5" s="6" t="inlineStr">
        <is>
          <t>Francisco Macías</t>
        </is>
      </c>
      <c r="D5" s="5" t="inlineStr">
        <is>
          <t>Activa</t>
        </is>
      </c>
    </row>
    <row r="6" ht="18" customHeight="1">
      <c r="A6" s="7" t="n">
        <v>2</v>
      </c>
      <c r="B6" s="8" t="inlineStr">
        <is>
          <t>Industrias Don Quiño</t>
        </is>
      </c>
      <c r="C6" s="8" t="inlineStr">
        <is>
          <t>Dailer Quiñonez</t>
        </is>
      </c>
      <c r="D6" s="7" t="inlineStr">
        <is>
          <t>Activa</t>
        </is>
      </c>
    </row>
    <row r="7" ht="18" customHeight="1">
      <c r="A7" s="5" t="n">
        <v>3</v>
      </c>
      <c r="B7" s="6" t="inlineStr">
        <is>
          <t>Taller industrial Don Remigio</t>
        </is>
      </c>
      <c r="C7" s="6" t="inlineStr">
        <is>
          <t>Remigio Chalacama</t>
        </is>
      </c>
      <c r="D7" s="5" t="inlineStr">
        <is>
          <t>Activa</t>
        </is>
      </c>
    </row>
    <row r="8" ht="18" customHeight="1">
      <c r="A8" s="7" t="n">
        <v>4</v>
      </c>
      <c r="B8" s="8" t="inlineStr">
        <is>
          <t>MP - Servicios profesionales</t>
        </is>
      </c>
      <c r="C8" s="8" t="inlineStr">
        <is>
          <t>Michael Pallo</t>
        </is>
      </c>
      <c r="D8" s="7" t="inlineStr">
        <is>
          <t>Activa</t>
        </is>
      </c>
    </row>
    <row r="9" ht="18" customHeight="1">
      <c r="A9" s="5" t="n">
        <v>5</v>
      </c>
      <c r="B9" s="6" t="inlineStr">
        <is>
          <t>Jonny Lam</t>
        </is>
      </c>
      <c r="C9" s="6" t="inlineStr">
        <is>
          <t>Jonny Lam</t>
        </is>
      </c>
      <c r="D9" s="5" t="inlineStr">
        <is>
          <t>Activa</t>
        </is>
      </c>
    </row>
    <row r="10" ht="18" customHeight="1">
      <c r="A10" s="7" t="n">
        <v>6</v>
      </c>
      <c r="B10" s="8" t="inlineStr">
        <is>
          <t>Víctor Volibar Andrade Calderón</t>
        </is>
      </c>
      <c r="C10" s="8" t="inlineStr">
        <is>
          <t>Víctor Volibar Andrade Calderón</t>
        </is>
      </c>
      <c r="D10" s="7" t="inlineStr">
        <is>
          <t>Activa</t>
        </is>
      </c>
    </row>
    <row r="11" ht="18" customHeight="1">
      <c r="A11" s="5" t="n">
        <v>7</v>
      </c>
      <c r="B11" s="6" t="inlineStr">
        <is>
          <t>La Llave</t>
        </is>
      </c>
      <c r="C11" s="6" t="inlineStr">
        <is>
          <t>Jorge Escobar</t>
        </is>
      </c>
      <c r="D11" s="5" t="inlineStr">
        <is>
          <t>Activa</t>
        </is>
      </c>
    </row>
    <row r="12" ht="18" customHeight="1">
      <c r="A12" s="7" t="n">
        <v>8</v>
      </c>
      <c r="B12" s="8" t="inlineStr">
        <is>
          <t>Firewall</t>
        </is>
      </c>
      <c r="C12" s="8" t="inlineStr">
        <is>
          <t>Wilson Pastuisaca</t>
        </is>
      </c>
      <c r="D12" s="7" t="inlineStr">
        <is>
          <t>Activa</t>
        </is>
      </c>
    </row>
    <row r="13" ht="18" customHeight="1">
      <c r="A13" s="5" t="n">
        <v>9</v>
      </c>
      <c r="B13" s="6" t="inlineStr">
        <is>
          <t>Taller industrial Asimbaya</t>
        </is>
      </c>
      <c r="C13" s="6" t="inlineStr">
        <is>
          <t>José Asimbaya</t>
        </is>
      </c>
      <c r="D13" s="5" t="inlineStr">
        <is>
          <t>Activa</t>
        </is>
      </c>
    </row>
    <row r="14" ht="18" customHeight="1">
      <c r="A14" s="7" t="n">
        <v>10</v>
      </c>
      <c r="B14" s="8" t="inlineStr">
        <is>
          <t>Taller industrial Chávez</t>
        </is>
      </c>
      <c r="C14" s="8" t="inlineStr">
        <is>
          <t>Cristian Chávez</t>
        </is>
      </c>
      <c r="D14" s="7" t="inlineStr">
        <is>
          <t>Activa</t>
        </is>
      </c>
    </row>
    <row r="15" ht="18" customHeight="1">
      <c r="A15" s="5" t="n">
        <v>11</v>
      </c>
      <c r="B15" s="6" t="inlineStr">
        <is>
          <t>Proinseg</t>
        </is>
      </c>
      <c r="C15" s="6" t="inlineStr">
        <is>
          <t>Juan Barrionuevo</t>
        </is>
      </c>
      <c r="D15" s="5" t="inlineStr">
        <is>
          <t>Activa</t>
        </is>
      </c>
    </row>
    <row r="16" ht="18" customHeight="1">
      <c r="A16" s="7" t="n">
        <v>12</v>
      </c>
      <c r="B16" s="8" t="inlineStr">
        <is>
          <t>Frío Aycart</t>
        </is>
      </c>
      <c r="C16" s="8" t="inlineStr">
        <is>
          <t>Yordan Aycart</t>
        </is>
      </c>
      <c r="D16" s="7" t="inlineStr">
        <is>
          <t>Activa</t>
        </is>
      </c>
    </row>
    <row r="17" ht="18" customHeight="1">
      <c r="A17" s="5" t="n">
        <v>13</v>
      </c>
      <c r="B17" s="6" t="inlineStr">
        <is>
          <t>Sosa</t>
        </is>
      </c>
      <c r="C17" s="6" t="inlineStr">
        <is>
          <t>Carlos Sosa</t>
        </is>
      </c>
      <c r="D17" s="5" t="inlineStr">
        <is>
          <t>Activa</t>
        </is>
      </c>
    </row>
    <row r="18" ht="18" customHeight="1">
      <c r="A18" s="7" t="n">
        <v>14</v>
      </c>
      <c r="B18" s="8" t="inlineStr">
        <is>
          <t>Meta technologie</t>
        </is>
      </c>
      <c r="C18" s="8" t="inlineStr">
        <is>
          <t>Ricardo Burbano</t>
        </is>
      </c>
      <c r="D18" s="7" t="inlineStr">
        <is>
          <t>Activa</t>
        </is>
      </c>
    </row>
    <row r="19" ht="18" customHeight="1">
      <c r="A19" s="5" t="n">
        <v>15</v>
      </c>
      <c r="B19" s="6" t="inlineStr">
        <is>
          <t>Wilmer Salazar</t>
        </is>
      </c>
      <c r="C19" s="6" t="inlineStr">
        <is>
          <t>Wilmer Salazar</t>
        </is>
      </c>
      <c r="D19" s="5" t="inlineStr">
        <is>
          <t>Activa</t>
        </is>
      </c>
    </row>
    <row r="20" ht="18" customHeight="1">
      <c r="A20" s="7" t="n">
        <v>16</v>
      </c>
      <c r="B20" s="8" t="inlineStr">
        <is>
          <t>Oselecsa</t>
        </is>
      </c>
      <c r="C20" s="8" t="inlineStr"/>
      <c r="D20" s="7" t="inlineStr">
        <is>
          <t>Activa</t>
        </is>
      </c>
    </row>
    <row r="21" ht="18" customHeight="1">
      <c r="A21" s="5" t="n">
        <v>17</v>
      </c>
      <c r="B21" s="6" t="inlineStr">
        <is>
          <t>ISEP</t>
        </is>
      </c>
      <c r="C21" s="6" t="inlineStr">
        <is>
          <t>Emiliano Crespo</t>
        </is>
      </c>
      <c r="D21" s="5" t="inlineStr">
        <is>
          <t>Activa</t>
        </is>
      </c>
    </row>
    <row r="22" ht="18" customHeight="1">
      <c r="A22" s="7" t="n">
        <v>18</v>
      </c>
      <c r="B22" s="8" t="inlineStr">
        <is>
          <t>JC</t>
        </is>
      </c>
      <c r="C22" s="8" t="inlineStr">
        <is>
          <t>Jonathan Cedeño</t>
        </is>
      </c>
      <c r="D22" s="7" t="inlineStr">
        <is>
          <t>Activa</t>
        </is>
      </c>
    </row>
    <row r="23" ht="18" customHeight="1">
      <c r="A23" s="5" t="n">
        <v>19</v>
      </c>
      <c r="B23" s="6" t="inlineStr">
        <is>
          <t>Julio Cano</t>
        </is>
      </c>
      <c r="C23" s="6" t="inlineStr">
        <is>
          <t>Julio Cano</t>
        </is>
      </c>
      <c r="D23" s="5" t="inlineStr">
        <is>
          <t>Activa</t>
        </is>
      </c>
    </row>
    <row r="24" ht="18" customHeight="1">
      <c r="A24" s="7" t="n">
        <v>20</v>
      </c>
      <c r="B24" s="8" t="inlineStr">
        <is>
          <t>ISMI</t>
        </is>
      </c>
      <c r="C24" s="8" t="inlineStr">
        <is>
          <t>Borys Jonathan Palma Tasinchano</t>
        </is>
      </c>
      <c r="D24" s="7" t="inlineStr">
        <is>
          <t>Activa</t>
        </is>
      </c>
    </row>
    <row r="25" ht="18" customHeight="1">
      <c r="A25" s="5" t="n">
        <v>21</v>
      </c>
      <c r="B25" s="6" t="inlineStr">
        <is>
          <t>ASOSERLIMFESA</t>
        </is>
      </c>
      <c r="C25" s="6" t="inlineStr">
        <is>
          <t>Quishpe Calderón Edison Angel</t>
        </is>
      </c>
      <c r="D25" s="5" t="inlineStr">
        <is>
          <t>Activa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Enero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18" customHeight="1">
      <c r="A5" s="7" t="n">
        <v>1</v>
      </c>
      <c r="B5" s="8">
        <f>MAESTRO!B5</f>
        <v/>
      </c>
      <c r="C5" s="8">
        <f>MAESTRO!C5</f>
        <v/>
      </c>
      <c r="D5" s="12" t="inlineStr">
        <is>
          <t>NO</t>
        </is>
      </c>
      <c r="E5" s="13" t="inlineStr"/>
      <c r="F5" s="12">
        <f>IF(D5="SI","✔ ACCESO","✘ SIN ACCESO")</f>
        <v/>
      </c>
      <c r="G5" s="13" t="inlineStr"/>
    </row>
    <row r="6" ht="18" customHeight="1">
      <c r="A6" s="5" t="n">
        <v>2</v>
      </c>
      <c r="B6" s="6">
        <f>MAESTRO!B6</f>
        <v/>
      </c>
      <c r="C6" s="6">
        <f>MAESTRO!C6</f>
        <v/>
      </c>
      <c r="D6" s="12" t="inlineStr">
        <is>
          <t>NO</t>
        </is>
      </c>
      <c r="E6" s="14" t="inlineStr"/>
      <c r="F6" s="12">
        <f>IF(D6="SI","✔ ACCESO","✘ SIN ACCESO")</f>
        <v/>
      </c>
      <c r="G6" s="14" t="inlineStr"/>
    </row>
    <row r="7" ht="18" customHeight="1">
      <c r="A7" s="7" t="n">
        <v>3</v>
      </c>
      <c r="B7" s="8">
        <f>MAESTRO!B7</f>
        <v/>
      </c>
      <c r="C7" s="8">
        <f>MAESTRO!C7</f>
        <v/>
      </c>
      <c r="D7" s="12" t="inlineStr">
        <is>
          <t>NO</t>
        </is>
      </c>
      <c r="E7" s="13" t="inlineStr"/>
      <c r="F7" s="12">
        <f>IF(D7="SI","✔ ACCESO","✘ SIN ACCESO")</f>
        <v/>
      </c>
      <c r="G7" s="13" t="inlineStr"/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12" t="inlineStr">
        <is>
          <t>NO</t>
        </is>
      </c>
      <c r="E9" s="13" t="inlineStr"/>
      <c r="F9" s="12">
        <f>IF(D9="SI","✔ ACCESO","✘ SIN ACCESO")</f>
        <v/>
      </c>
      <c r="G9" s="13" t="inlineStr"/>
    </row>
    <row r="10" ht="18" customHeight="1">
      <c r="A10" s="5" t="n">
        <v>6</v>
      </c>
      <c r="B10" s="6">
        <f>MAESTRO!B10</f>
        <v/>
      </c>
      <c r="C10" s="6">
        <f>MAESTRO!C10</f>
        <v/>
      </c>
      <c r="D10" s="12" t="inlineStr">
        <is>
          <t>NO</t>
        </is>
      </c>
      <c r="E10" s="14" t="inlineStr"/>
      <c r="F10" s="12">
        <f>IF(D10="SI","✔ ACCESO","✘ SIN ACCESO")</f>
        <v/>
      </c>
      <c r="G10" s="14" t="inlineStr"/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18" customHeight="1">
      <c r="A13" s="7" t="n">
        <v>9</v>
      </c>
      <c r="B13" s="8">
        <f>MAESTRO!B13</f>
        <v/>
      </c>
      <c r="C13" s="8">
        <f>MAESTRO!C13</f>
        <v/>
      </c>
      <c r="D13" s="12" t="inlineStr">
        <is>
          <t>NO</t>
        </is>
      </c>
      <c r="E13" s="13" t="inlineStr"/>
      <c r="F13" s="12">
        <f>IF(D13="SI","✔ ACCESO","✘ SIN ACCESO")</f>
        <v/>
      </c>
      <c r="G13" s="13" t="inlineStr"/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18" customHeight="1">
      <c r="A18" s="5" t="n">
        <v>14</v>
      </c>
      <c r="B18" s="6">
        <f>MAESTRO!B18</f>
        <v/>
      </c>
      <c r="C18" s="6">
        <f>MAESTRO!C18</f>
        <v/>
      </c>
      <c r="D18" s="12" t="inlineStr">
        <is>
          <t>NO</t>
        </is>
      </c>
      <c r="E18" s="14" t="inlineStr"/>
      <c r="F18" s="12">
        <f>IF(D18="SI","✔ ACCESO","✘ SIN ACCESO")</f>
        <v/>
      </c>
      <c r="G18" s="14" t="inlineStr"/>
    </row>
    <row r="19" ht="18" customHeight="1">
      <c r="A19" s="7" t="n">
        <v>15</v>
      </c>
      <c r="B19" s="8">
        <f>MAESTRO!B19</f>
        <v/>
      </c>
      <c r="C19" s="8">
        <f>MAESTRO!C19</f>
        <v/>
      </c>
      <c r="D19" s="12" t="inlineStr">
        <is>
          <t>NO</t>
        </is>
      </c>
      <c r="E19" s="13" t="inlineStr"/>
      <c r="F19" s="12">
        <f>IF(D19="SI","✔ ACCESO","✘ SIN ACCESO")</f>
        <v/>
      </c>
      <c r="G19" s="13" t="inlineStr"/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8" customHeight="1">
      <c r="A24" s="5" t="n">
        <v>20</v>
      </c>
      <c r="B24" s="6">
        <f>MAESTRO!B24</f>
        <v/>
      </c>
      <c r="C24" s="6">
        <f>MAESTRO!C24</f>
        <v/>
      </c>
      <c r="D24" s="12" t="inlineStr">
        <is>
          <t>NO</t>
        </is>
      </c>
      <c r="E24" s="14" t="inlineStr"/>
      <c r="F24" s="12">
        <f>IF(D24="SI","✔ ACCESO","✘ SIN ACCESO")</f>
        <v/>
      </c>
      <c r="G24" s="14" t="inlineStr"/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Febrero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18" customHeight="1">
      <c r="A5" s="7" t="n">
        <v>1</v>
      </c>
      <c r="B5" s="8">
        <f>MAESTRO!B5</f>
        <v/>
      </c>
      <c r="C5" s="8">
        <f>MAESTRO!C5</f>
        <v/>
      </c>
      <c r="D5" s="12" t="inlineStr">
        <is>
          <t>NO</t>
        </is>
      </c>
      <c r="E5" s="13" t="inlineStr"/>
      <c r="F5" s="12">
        <f>IF(D5="SI","✔ ACCESO","✘ SIN ACCESO")</f>
        <v/>
      </c>
      <c r="G5" s="13" t="inlineStr"/>
    </row>
    <row r="6" ht="18" customHeight="1">
      <c r="A6" s="5" t="n">
        <v>2</v>
      </c>
      <c r="B6" s="6">
        <f>MAESTRO!B6</f>
        <v/>
      </c>
      <c r="C6" s="6">
        <f>MAESTRO!C6</f>
        <v/>
      </c>
      <c r="D6" s="12" t="inlineStr">
        <is>
          <t>NO</t>
        </is>
      </c>
      <c r="E6" s="14" t="inlineStr"/>
      <c r="F6" s="12">
        <f>IF(D6="SI","✔ ACCESO","✘ SIN ACCESO")</f>
        <v/>
      </c>
      <c r="G6" s="14" t="inlineStr"/>
    </row>
    <row r="7" ht="18" customHeight="1">
      <c r="A7" s="7" t="n">
        <v>3</v>
      </c>
      <c r="B7" s="8">
        <f>MAESTRO!B7</f>
        <v/>
      </c>
      <c r="C7" s="8">
        <f>MAESTRO!C7</f>
        <v/>
      </c>
      <c r="D7" s="12" t="inlineStr">
        <is>
          <t>NO</t>
        </is>
      </c>
      <c r="E7" s="13" t="inlineStr"/>
      <c r="F7" s="12">
        <f>IF(D7="SI","✔ ACCESO","✘ SIN ACCESO")</f>
        <v/>
      </c>
      <c r="G7" s="13" t="inlineStr"/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12" t="inlineStr">
        <is>
          <t>NO</t>
        </is>
      </c>
      <c r="E9" s="13" t="inlineStr"/>
      <c r="F9" s="12">
        <f>IF(D9="SI","✔ ACCESO","✘ SIN ACCESO")</f>
        <v/>
      </c>
      <c r="G9" s="13" t="inlineStr"/>
    </row>
    <row r="10" ht="18" customHeight="1">
      <c r="A10" s="5" t="n">
        <v>6</v>
      </c>
      <c r="B10" s="6">
        <f>MAESTRO!B10</f>
        <v/>
      </c>
      <c r="C10" s="6">
        <f>MAESTRO!C10</f>
        <v/>
      </c>
      <c r="D10" s="12" t="inlineStr">
        <is>
          <t>NO</t>
        </is>
      </c>
      <c r="E10" s="14" t="inlineStr"/>
      <c r="F10" s="12">
        <f>IF(D10="SI","✔ ACCESO","✘ SIN ACCESO")</f>
        <v/>
      </c>
      <c r="G10" s="14" t="inlineStr"/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18" customHeight="1">
      <c r="A13" s="7" t="n">
        <v>9</v>
      </c>
      <c r="B13" s="8">
        <f>MAESTRO!B13</f>
        <v/>
      </c>
      <c r="C13" s="8">
        <f>MAESTRO!C13</f>
        <v/>
      </c>
      <c r="D13" s="12" t="inlineStr">
        <is>
          <t>NO</t>
        </is>
      </c>
      <c r="E13" s="13" t="inlineStr"/>
      <c r="F13" s="12">
        <f>IF(D13="SI","✔ ACCESO","✘ SIN ACCESO")</f>
        <v/>
      </c>
      <c r="G13" s="13" t="inlineStr"/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18" customHeight="1">
      <c r="A18" s="5" t="n">
        <v>14</v>
      </c>
      <c r="B18" s="6">
        <f>MAESTRO!B18</f>
        <v/>
      </c>
      <c r="C18" s="6">
        <f>MAESTRO!C18</f>
        <v/>
      </c>
      <c r="D18" s="12" t="inlineStr">
        <is>
          <t>NO</t>
        </is>
      </c>
      <c r="E18" s="14" t="inlineStr"/>
      <c r="F18" s="12">
        <f>IF(D18="SI","✔ ACCESO","✘ SIN ACCESO")</f>
        <v/>
      </c>
      <c r="G18" s="14" t="inlineStr"/>
    </row>
    <row r="19" ht="18" customHeight="1">
      <c r="A19" s="7" t="n">
        <v>15</v>
      </c>
      <c r="B19" s="8">
        <f>MAESTRO!B19</f>
        <v/>
      </c>
      <c r="C19" s="8">
        <f>MAESTRO!C19</f>
        <v/>
      </c>
      <c r="D19" s="12" t="inlineStr">
        <is>
          <t>NO</t>
        </is>
      </c>
      <c r="E19" s="13" t="inlineStr"/>
      <c r="F19" s="12">
        <f>IF(D19="SI","✔ ACCESO","✘ SIN ACCESO")</f>
        <v/>
      </c>
      <c r="G19" s="13" t="inlineStr"/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8" customHeight="1">
      <c r="A24" s="5" t="n">
        <v>20</v>
      </c>
      <c r="B24" s="6">
        <f>MAESTRO!B24</f>
        <v/>
      </c>
      <c r="C24" s="6">
        <f>MAESTRO!C24</f>
        <v/>
      </c>
      <c r="D24" s="12" t="inlineStr">
        <is>
          <t>NO</t>
        </is>
      </c>
      <c r="E24" s="14" t="inlineStr"/>
      <c r="F24" s="12">
        <f>IF(D24="SI","✔ ACCESO","✘ SIN ACCESO")</f>
        <v/>
      </c>
      <c r="G24" s="14" t="inlineStr"/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Marzo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18" customHeight="1">
      <c r="A5" s="7" t="n">
        <v>1</v>
      </c>
      <c r="B5" s="8">
        <f>MAESTRO!B5</f>
        <v/>
      </c>
      <c r="C5" s="8">
        <f>MAESTRO!C5</f>
        <v/>
      </c>
      <c r="D5" s="12" t="inlineStr">
        <is>
          <t>NO</t>
        </is>
      </c>
      <c r="E5" s="13" t="inlineStr"/>
      <c r="F5" s="12">
        <f>IF(D5="SI","✔ ACCESO","✘ SIN ACCESO")</f>
        <v/>
      </c>
      <c r="G5" s="13" t="inlineStr"/>
    </row>
    <row r="6" ht="18" customHeight="1">
      <c r="A6" s="5" t="n">
        <v>2</v>
      </c>
      <c r="B6" s="6">
        <f>MAESTRO!B6</f>
        <v/>
      </c>
      <c r="C6" s="6">
        <f>MAESTRO!C6</f>
        <v/>
      </c>
      <c r="D6" s="12" t="inlineStr">
        <is>
          <t>NO</t>
        </is>
      </c>
      <c r="E6" s="14" t="inlineStr"/>
      <c r="F6" s="12">
        <f>IF(D6="SI","✔ ACCESO","✘ SIN ACCESO")</f>
        <v/>
      </c>
      <c r="G6" s="14" t="inlineStr"/>
    </row>
    <row r="7" ht="18" customHeight="1">
      <c r="A7" s="7" t="n">
        <v>3</v>
      </c>
      <c r="B7" s="8">
        <f>MAESTRO!B7</f>
        <v/>
      </c>
      <c r="C7" s="8">
        <f>MAESTRO!C7</f>
        <v/>
      </c>
      <c r="D7" s="12" t="inlineStr">
        <is>
          <t>NO</t>
        </is>
      </c>
      <c r="E7" s="13" t="inlineStr"/>
      <c r="F7" s="12">
        <f>IF(D7="SI","✔ ACCESO","✘ SIN ACCESO")</f>
        <v/>
      </c>
      <c r="G7" s="13" t="inlineStr"/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12" t="inlineStr">
        <is>
          <t>NO</t>
        </is>
      </c>
      <c r="E9" s="13" t="inlineStr"/>
      <c r="F9" s="12">
        <f>IF(D9="SI","✔ ACCESO","✘ SIN ACCESO")</f>
        <v/>
      </c>
      <c r="G9" s="13" t="inlineStr"/>
    </row>
    <row r="10" ht="18" customHeight="1">
      <c r="A10" s="5" t="n">
        <v>6</v>
      </c>
      <c r="B10" s="6">
        <f>MAESTRO!B10</f>
        <v/>
      </c>
      <c r="C10" s="6">
        <f>MAESTRO!C10</f>
        <v/>
      </c>
      <c r="D10" s="12" t="inlineStr">
        <is>
          <t>NO</t>
        </is>
      </c>
      <c r="E10" s="14" t="inlineStr"/>
      <c r="F10" s="12">
        <f>IF(D10="SI","✔ ACCESO","✘ SIN ACCESO")</f>
        <v/>
      </c>
      <c r="G10" s="14" t="inlineStr"/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18" customHeight="1">
      <c r="A13" s="7" t="n">
        <v>9</v>
      </c>
      <c r="B13" s="8">
        <f>MAESTRO!B13</f>
        <v/>
      </c>
      <c r="C13" s="8">
        <f>MAESTRO!C13</f>
        <v/>
      </c>
      <c r="D13" s="12" t="inlineStr">
        <is>
          <t>NO</t>
        </is>
      </c>
      <c r="E13" s="13" t="inlineStr"/>
      <c r="F13" s="12">
        <f>IF(D13="SI","✔ ACCESO","✘ SIN ACCESO")</f>
        <v/>
      </c>
      <c r="G13" s="13" t="inlineStr"/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18" customHeight="1">
      <c r="A18" s="5" t="n">
        <v>14</v>
      </c>
      <c r="B18" s="6">
        <f>MAESTRO!B18</f>
        <v/>
      </c>
      <c r="C18" s="6">
        <f>MAESTRO!C18</f>
        <v/>
      </c>
      <c r="D18" s="12" t="inlineStr">
        <is>
          <t>NO</t>
        </is>
      </c>
      <c r="E18" s="14" t="inlineStr"/>
      <c r="F18" s="12">
        <f>IF(D18="SI","✔ ACCESO","✘ SIN ACCESO")</f>
        <v/>
      </c>
      <c r="G18" s="14" t="inlineStr"/>
    </row>
    <row r="19" ht="18" customHeight="1">
      <c r="A19" s="7" t="n">
        <v>15</v>
      </c>
      <c r="B19" s="8">
        <f>MAESTRO!B19</f>
        <v/>
      </c>
      <c r="C19" s="8">
        <f>MAESTRO!C19</f>
        <v/>
      </c>
      <c r="D19" s="12" t="inlineStr">
        <is>
          <t>NO</t>
        </is>
      </c>
      <c r="E19" s="13" t="inlineStr"/>
      <c r="F19" s="12">
        <f>IF(D19="SI","✔ ACCESO","✘ SIN ACCESO")</f>
        <v/>
      </c>
      <c r="G19" s="13" t="inlineStr"/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8" customHeight="1">
      <c r="A24" s="5" t="n">
        <v>20</v>
      </c>
      <c r="B24" s="6">
        <f>MAESTRO!B24</f>
        <v/>
      </c>
      <c r="C24" s="6">
        <f>MAESTRO!C24</f>
        <v/>
      </c>
      <c r="D24" s="12" t="inlineStr">
        <is>
          <t>NO</t>
        </is>
      </c>
      <c r="E24" s="14" t="inlineStr"/>
      <c r="F24" s="12">
        <f>IF(D24="SI","✔ ACCESO","✘ SIN ACCESO")</f>
        <v/>
      </c>
      <c r="G24" s="14" t="inlineStr"/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Abril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18" customHeight="1">
      <c r="A5" s="7" t="n">
        <v>1</v>
      </c>
      <c r="B5" s="8">
        <f>MAESTRO!B5</f>
        <v/>
      </c>
      <c r="C5" s="8">
        <f>MAESTRO!C5</f>
        <v/>
      </c>
      <c r="D5" s="12" t="inlineStr">
        <is>
          <t>NO</t>
        </is>
      </c>
      <c r="E5" s="13" t="inlineStr"/>
      <c r="F5" s="12">
        <f>IF(D5="SI","✔ ACCESO","✘ SIN ACCESO")</f>
        <v/>
      </c>
      <c r="G5" s="13" t="inlineStr"/>
    </row>
    <row r="6" ht="18" customHeight="1">
      <c r="A6" s="5" t="n">
        <v>2</v>
      </c>
      <c r="B6" s="6">
        <f>MAESTRO!B6</f>
        <v/>
      </c>
      <c r="C6" s="6">
        <f>MAESTRO!C6</f>
        <v/>
      </c>
      <c r="D6" s="12" t="inlineStr">
        <is>
          <t>NO</t>
        </is>
      </c>
      <c r="E6" s="14" t="inlineStr"/>
      <c r="F6" s="12">
        <f>IF(D6="SI","✔ ACCESO","✘ SIN ACCESO")</f>
        <v/>
      </c>
      <c r="G6" s="14" t="inlineStr"/>
    </row>
    <row r="7" ht="18" customHeight="1">
      <c r="A7" s="7" t="n">
        <v>3</v>
      </c>
      <c r="B7" s="8">
        <f>MAESTRO!B7</f>
        <v/>
      </c>
      <c r="C7" s="8">
        <f>MAESTRO!C7</f>
        <v/>
      </c>
      <c r="D7" s="12" t="inlineStr">
        <is>
          <t>NO</t>
        </is>
      </c>
      <c r="E7" s="13" t="inlineStr"/>
      <c r="F7" s="12">
        <f>IF(D7="SI","✔ ACCESO","✘ SIN ACCESO")</f>
        <v/>
      </c>
      <c r="G7" s="13" t="inlineStr"/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12" t="inlineStr">
        <is>
          <t>NO</t>
        </is>
      </c>
      <c r="E9" s="13" t="inlineStr"/>
      <c r="F9" s="12">
        <f>IF(D9="SI","✔ ACCESO","✘ SIN ACCESO")</f>
        <v/>
      </c>
      <c r="G9" s="13" t="inlineStr"/>
    </row>
    <row r="10" ht="18" customHeight="1">
      <c r="A10" s="5" t="n">
        <v>6</v>
      </c>
      <c r="B10" s="6">
        <f>MAESTRO!B10</f>
        <v/>
      </c>
      <c r="C10" s="6">
        <f>MAESTRO!C10</f>
        <v/>
      </c>
      <c r="D10" s="12" t="inlineStr">
        <is>
          <t>NO</t>
        </is>
      </c>
      <c r="E10" s="14" t="inlineStr"/>
      <c r="F10" s="12">
        <f>IF(D10="SI","✔ ACCESO","✘ SIN ACCESO")</f>
        <v/>
      </c>
      <c r="G10" s="14" t="inlineStr"/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18" customHeight="1">
      <c r="A13" s="7" t="n">
        <v>9</v>
      </c>
      <c r="B13" s="8">
        <f>MAESTRO!B13</f>
        <v/>
      </c>
      <c r="C13" s="8">
        <f>MAESTRO!C13</f>
        <v/>
      </c>
      <c r="D13" s="12" t="inlineStr">
        <is>
          <t>NO</t>
        </is>
      </c>
      <c r="E13" s="13" t="inlineStr"/>
      <c r="F13" s="12">
        <f>IF(D13="SI","✔ ACCESO","✘ SIN ACCESO")</f>
        <v/>
      </c>
      <c r="G13" s="13" t="inlineStr"/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18" customHeight="1">
      <c r="A18" s="5" t="n">
        <v>14</v>
      </c>
      <c r="B18" s="6">
        <f>MAESTRO!B18</f>
        <v/>
      </c>
      <c r="C18" s="6">
        <f>MAESTRO!C18</f>
        <v/>
      </c>
      <c r="D18" s="12" t="inlineStr">
        <is>
          <t>NO</t>
        </is>
      </c>
      <c r="E18" s="14" t="inlineStr"/>
      <c r="F18" s="12">
        <f>IF(D18="SI","✔ ACCESO","✘ SIN ACCESO")</f>
        <v/>
      </c>
      <c r="G18" s="14" t="inlineStr"/>
    </row>
    <row r="19" ht="18" customHeight="1">
      <c r="A19" s="7" t="n">
        <v>15</v>
      </c>
      <c r="B19" s="8">
        <f>MAESTRO!B19</f>
        <v/>
      </c>
      <c r="C19" s="8">
        <f>MAESTRO!C19</f>
        <v/>
      </c>
      <c r="D19" s="12" t="inlineStr">
        <is>
          <t>NO</t>
        </is>
      </c>
      <c r="E19" s="13" t="inlineStr"/>
      <c r="F19" s="12">
        <f>IF(D19="SI","✔ ACCESO","✘ SIN ACCESO")</f>
        <v/>
      </c>
      <c r="G19" s="13" t="inlineStr"/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8" customHeight="1">
      <c r="A24" s="5" t="n">
        <v>20</v>
      </c>
      <c r="B24" s="6">
        <f>MAESTRO!B24</f>
        <v/>
      </c>
      <c r="C24" s="6">
        <f>MAESTRO!C24</f>
        <v/>
      </c>
      <c r="D24" s="12" t="inlineStr">
        <is>
          <t>NO</t>
        </is>
      </c>
      <c r="E24" s="14" t="inlineStr"/>
      <c r="F24" s="12">
        <f>IF(D24="SI","✔ ACCESO","✘ SIN ACCESO")</f>
        <v/>
      </c>
      <c r="G24" s="14" t="inlineStr"/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Mayo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18" customHeight="1">
      <c r="A5" s="7" t="n">
        <v>1</v>
      </c>
      <c r="B5" s="8">
        <f>MAESTRO!B5</f>
        <v/>
      </c>
      <c r="C5" s="8">
        <f>MAESTRO!C5</f>
        <v/>
      </c>
      <c r="D5" s="12" t="inlineStr">
        <is>
          <t>NO</t>
        </is>
      </c>
      <c r="E5" s="13" t="inlineStr"/>
      <c r="F5" s="12">
        <f>IF(D5="SI","✔ ACCESO","✘ SIN ACCESO")</f>
        <v/>
      </c>
      <c r="G5" s="13" t="inlineStr"/>
    </row>
    <row r="6" ht="18" customHeight="1">
      <c r="A6" s="5" t="n">
        <v>2</v>
      </c>
      <c r="B6" s="6">
        <f>MAESTRO!B6</f>
        <v/>
      </c>
      <c r="C6" s="6">
        <f>MAESTRO!C6</f>
        <v/>
      </c>
      <c r="D6" s="12" t="inlineStr">
        <is>
          <t>NO</t>
        </is>
      </c>
      <c r="E6" s="14" t="inlineStr"/>
      <c r="F6" s="12">
        <f>IF(D6="SI","✔ ACCESO","✘ SIN ACCESO")</f>
        <v/>
      </c>
      <c r="G6" s="14" t="inlineStr"/>
    </row>
    <row r="7" ht="18" customHeight="1">
      <c r="A7" s="7" t="n">
        <v>3</v>
      </c>
      <c r="B7" s="8">
        <f>MAESTRO!B7</f>
        <v/>
      </c>
      <c r="C7" s="8">
        <f>MAESTRO!C7</f>
        <v/>
      </c>
      <c r="D7" s="12" t="inlineStr">
        <is>
          <t>NO</t>
        </is>
      </c>
      <c r="E7" s="13" t="inlineStr"/>
      <c r="F7" s="12">
        <f>IF(D7="SI","✔ ACCESO","✘ SIN ACCESO")</f>
        <v/>
      </c>
      <c r="G7" s="13" t="inlineStr"/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12" t="inlineStr">
        <is>
          <t>NO</t>
        </is>
      </c>
      <c r="E9" s="13" t="inlineStr"/>
      <c r="F9" s="12">
        <f>IF(D9="SI","✔ ACCESO","✘ SIN ACCESO")</f>
        <v/>
      </c>
      <c r="G9" s="13" t="inlineStr"/>
    </row>
    <row r="10" ht="18" customHeight="1">
      <c r="A10" s="5" t="n">
        <v>6</v>
      </c>
      <c r="B10" s="6">
        <f>MAESTRO!B10</f>
        <v/>
      </c>
      <c r="C10" s="6">
        <f>MAESTRO!C10</f>
        <v/>
      </c>
      <c r="D10" s="12" t="inlineStr">
        <is>
          <t>NO</t>
        </is>
      </c>
      <c r="E10" s="14" t="inlineStr"/>
      <c r="F10" s="12">
        <f>IF(D10="SI","✔ ACCESO","✘ SIN ACCESO")</f>
        <v/>
      </c>
      <c r="G10" s="14" t="inlineStr"/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18" customHeight="1">
      <c r="A13" s="7" t="n">
        <v>9</v>
      </c>
      <c r="B13" s="8">
        <f>MAESTRO!B13</f>
        <v/>
      </c>
      <c r="C13" s="8">
        <f>MAESTRO!C13</f>
        <v/>
      </c>
      <c r="D13" s="12" t="inlineStr">
        <is>
          <t>NO</t>
        </is>
      </c>
      <c r="E13" s="13" t="inlineStr"/>
      <c r="F13" s="12">
        <f>IF(D13="SI","✔ ACCESO","✘ SIN ACCESO")</f>
        <v/>
      </c>
      <c r="G13" s="13" t="inlineStr"/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18" customHeight="1">
      <c r="A18" s="5" t="n">
        <v>14</v>
      </c>
      <c r="B18" s="6">
        <f>MAESTRO!B18</f>
        <v/>
      </c>
      <c r="C18" s="6">
        <f>MAESTRO!C18</f>
        <v/>
      </c>
      <c r="D18" s="12" t="inlineStr">
        <is>
          <t>NO</t>
        </is>
      </c>
      <c r="E18" s="14" t="inlineStr"/>
      <c r="F18" s="12">
        <f>IF(D18="SI","✔ ACCESO","✘ SIN ACCESO")</f>
        <v/>
      </c>
      <c r="G18" s="14" t="inlineStr"/>
    </row>
    <row r="19" ht="18" customHeight="1">
      <c r="A19" s="7" t="n">
        <v>15</v>
      </c>
      <c r="B19" s="8">
        <f>MAESTRO!B19</f>
        <v/>
      </c>
      <c r="C19" s="8">
        <f>MAESTRO!C19</f>
        <v/>
      </c>
      <c r="D19" s="12" t="inlineStr">
        <is>
          <t>NO</t>
        </is>
      </c>
      <c r="E19" s="13" t="inlineStr"/>
      <c r="F19" s="12">
        <f>IF(D19="SI","✔ ACCESO","✘ SIN ACCESO")</f>
        <v/>
      </c>
      <c r="G19" s="13" t="inlineStr"/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8" customHeight="1">
      <c r="A24" s="5" t="n">
        <v>20</v>
      </c>
      <c r="B24" s="6">
        <f>MAESTRO!B24</f>
        <v/>
      </c>
      <c r="C24" s="6">
        <f>MAESTRO!C24</f>
        <v/>
      </c>
      <c r="D24" s="12" t="inlineStr">
        <is>
          <t>NO</t>
        </is>
      </c>
      <c r="E24" s="14" t="inlineStr"/>
      <c r="F24" s="12">
        <f>IF(D24="SI","✔ ACCESO","✘ SIN ACCESO")</f>
        <v/>
      </c>
      <c r="G24" s="14" t="inlineStr"/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Junio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18" customHeight="1">
      <c r="A5" s="7" t="n">
        <v>1</v>
      </c>
      <c r="B5" s="8">
        <f>MAESTRO!B5</f>
        <v/>
      </c>
      <c r="C5" s="8">
        <f>MAESTRO!C5</f>
        <v/>
      </c>
      <c r="D5" s="12" t="inlineStr">
        <is>
          <t>NO</t>
        </is>
      </c>
      <c r="E5" s="13" t="inlineStr"/>
      <c r="F5" s="12">
        <f>IF(D5="SI","✔ ACCESO","✘ SIN ACCESO")</f>
        <v/>
      </c>
      <c r="G5" s="13" t="inlineStr"/>
    </row>
    <row r="6" ht="18" customHeight="1">
      <c r="A6" s="5" t="n">
        <v>2</v>
      </c>
      <c r="B6" s="6">
        <f>MAESTRO!B6</f>
        <v/>
      </c>
      <c r="C6" s="6">
        <f>MAESTRO!C6</f>
        <v/>
      </c>
      <c r="D6" s="12" t="inlineStr">
        <is>
          <t>NO</t>
        </is>
      </c>
      <c r="E6" s="14" t="inlineStr"/>
      <c r="F6" s="12">
        <f>IF(D6="SI","✔ ACCESO","✘ SIN ACCESO")</f>
        <v/>
      </c>
      <c r="G6" s="14" t="inlineStr"/>
    </row>
    <row r="7" ht="18" customHeight="1">
      <c r="A7" s="7" t="n">
        <v>3</v>
      </c>
      <c r="B7" s="8">
        <f>MAESTRO!B7</f>
        <v/>
      </c>
      <c r="C7" s="8">
        <f>MAESTRO!C7</f>
        <v/>
      </c>
      <c r="D7" s="12" t="inlineStr">
        <is>
          <t>NO</t>
        </is>
      </c>
      <c r="E7" s="13" t="inlineStr"/>
      <c r="F7" s="12">
        <f>IF(D7="SI","✔ ACCESO","✘ SIN ACCESO")</f>
        <v/>
      </c>
      <c r="G7" s="13" t="inlineStr"/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12" t="inlineStr">
        <is>
          <t>NO</t>
        </is>
      </c>
      <c r="E9" s="13" t="inlineStr"/>
      <c r="F9" s="12">
        <f>IF(D9="SI","✔ ACCESO","✘ SIN ACCESO")</f>
        <v/>
      </c>
      <c r="G9" s="13" t="inlineStr"/>
    </row>
    <row r="10" ht="18" customHeight="1">
      <c r="A10" s="5" t="n">
        <v>6</v>
      </c>
      <c r="B10" s="6">
        <f>MAESTRO!B10</f>
        <v/>
      </c>
      <c r="C10" s="6">
        <f>MAESTRO!C10</f>
        <v/>
      </c>
      <c r="D10" s="12" t="inlineStr">
        <is>
          <t>NO</t>
        </is>
      </c>
      <c r="E10" s="14" t="inlineStr"/>
      <c r="F10" s="12">
        <f>IF(D10="SI","✔ ACCESO","✘ SIN ACCESO")</f>
        <v/>
      </c>
      <c r="G10" s="14" t="inlineStr"/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18" customHeight="1">
      <c r="A13" s="7" t="n">
        <v>9</v>
      </c>
      <c r="B13" s="8">
        <f>MAESTRO!B13</f>
        <v/>
      </c>
      <c r="C13" s="8">
        <f>MAESTRO!C13</f>
        <v/>
      </c>
      <c r="D13" s="12" t="inlineStr">
        <is>
          <t>NO</t>
        </is>
      </c>
      <c r="E13" s="13" t="inlineStr"/>
      <c r="F13" s="12">
        <f>IF(D13="SI","✔ ACCESO","✘ SIN ACCESO")</f>
        <v/>
      </c>
      <c r="G13" s="13" t="inlineStr"/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18" customHeight="1">
      <c r="A18" s="5" t="n">
        <v>14</v>
      </c>
      <c r="B18" s="6">
        <f>MAESTRO!B18</f>
        <v/>
      </c>
      <c r="C18" s="6">
        <f>MAESTRO!C18</f>
        <v/>
      </c>
      <c r="D18" s="12" t="inlineStr">
        <is>
          <t>NO</t>
        </is>
      </c>
      <c r="E18" s="14" t="inlineStr"/>
      <c r="F18" s="12">
        <f>IF(D18="SI","✔ ACCESO","✘ SIN ACCESO")</f>
        <v/>
      </c>
      <c r="G18" s="14" t="inlineStr"/>
    </row>
    <row r="19" ht="18" customHeight="1">
      <c r="A19" s="7" t="n">
        <v>15</v>
      </c>
      <c r="B19" s="8">
        <f>MAESTRO!B19</f>
        <v/>
      </c>
      <c r="C19" s="8">
        <f>MAESTRO!C19</f>
        <v/>
      </c>
      <c r="D19" s="12" t="inlineStr">
        <is>
          <t>NO</t>
        </is>
      </c>
      <c r="E19" s="13" t="inlineStr"/>
      <c r="F19" s="12">
        <f>IF(D19="SI","✔ ACCESO","✘ SIN ACCESO")</f>
        <v/>
      </c>
      <c r="G19" s="13" t="inlineStr"/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8" customHeight="1">
      <c r="A24" s="5" t="n">
        <v>20</v>
      </c>
      <c r="B24" s="6">
        <f>MAESTRO!B24</f>
        <v/>
      </c>
      <c r="C24" s="6">
        <f>MAESTRO!C24</f>
        <v/>
      </c>
      <c r="D24" s="12" t="inlineStr">
        <is>
          <t>NO</t>
        </is>
      </c>
      <c r="E24" s="14" t="inlineStr"/>
      <c r="F24" s="12">
        <f>IF(D24="SI","✔ ACCESO","✘ SIN ACCESO")</f>
        <v/>
      </c>
      <c r="G24" s="14" t="inlineStr"/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Julio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18" customHeight="1">
      <c r="A5" s="7" t="n">
        <v>1</v>
      </c>
      <c r="B5" s="8">
        <f>MAESTRO!B5</f>
        <v/>
      </c>
      <c r="C5" s="8">
        <f>MAESTRO!C5</f>
        <v/>
      </c>
      <c r="D5" s="12" t="inlineStr">
        <is>
          <t>NO</t>
        </is>
      </c>
      <c r="E5" s="13" t="inlineStr"/>
      <c r="F5" s="12">
        <f>IF(D5="SI","✔ ACCESO","✘ SIN ACCESO")</f>
        <v/>
      </c>
      <c r="G5" s="13" t="inlineStr"/>
    </row>
    <row r="6" ht="18" customHeight="1">
      <c r="A6" s="5" t="n">
        <v>2</v>
      </c>
      <c r="B6" s="6">
        <f>MAESTRO!B6</f>
        <v/>
      </c>
      <c r="C6" s="6">
        <f>MAESTRO!C6</f>
        <v/>
      </c>
      <c r="D6" s="12" t="inlineStr">
        <is>
          <t>NO</t>
        </is>
      </c>
      <c r="E6" s="14" t="inlineStr"/>
      <c r="F6" s="12">
        <f>IF(D6="SI","✔ ACCESO","✘ SIN ACCESO")</f>
        <v/>
      </c>
      <c r="G6" s="14" t="inlineStr"/>
    </row>
    <row r="7" ht="18" customHeight="1">
      <c r="A7" s="7" t="n">
        <v>3</v>
      </c>
      <c r="B7" s="8">
        <f>MAESTRO!B7</f>
        <v/>
      </c>
      <c r="C7" s="8">
        <f>MAESTRO!C7</f>
        <v/>
      </c>
      <c r="D7" s="12" t="inlineStr">
        <is>
          <t>NO</t>
        </is>
      </c>
      <c r="E7" s="13" t="inlineStr"/>
      <c r="F7" s="12">
        <f>IF(D7="SI","✔ ACCESO","✘ SIN ACCESO")</f>
        <v/>
      </c>
      <c r="G7" s="13" t="inlineStr"/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12" t="inlineStr">
        <is>
          <t>NO</t>
        </is>
      </c>
      <c r="E9" s="13" t="inlineStr"/>
      <c r="F9" s="12">
        <f>IF(D9="SI","✔ ACCESO","✘ SIN ACCESO")</f>
        <v/>
      </c>
      <c r="G9" s="13" t="inlineStr"/>
    </row>
    <row r="10" ht="18" customHeight="1">
      <c r="A10" s="5" t="n">
        <v>6</v>
      </c>
      <c r="B10" s="6">
        <f>MAESTRO!B10</f>
        <v/>
      </c>
      <c r="C10" s="6">
        <f>MAESTRO!C10</f>
        <v/>
      </c>
      <c r="D10" s="12" t="inlineStr">
        <is>
          <t>NO</t>
        </is>
      </c>
      <c r="E10" s="14" t="inlineStr"/>
      <c r="F10" s="12">
        <f>IF(D10="SI","✔ ACCESO","✘ SIN ACCESO")</f>
        <v/>
      </c>
      <c r="G10" s="14" t="inlineStr"/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18" customHeight="1">
      <c r="A13" s="7" t="n">
        <v>9</v>
      </c>
      <c r="B13" s="8">
        <f>MAESTRO!B13</f>
        <v/>
      </c>
      <c r="C13" s="8">
        <f>MAESTRO!C13</f>
        <v/>
      </c>
      <c r="D13" s="12" t="inlineStr">
        <is>
          <t>NO</t>
        </is>
      </c>
      <c r="E13" s="13" t="inlineStr"/>
      <c r="F13" s="12">
        <f>IF(D13="SI","✔ ACCESO","✘ SIN ACCESO")</f>
        <v/>
      </c>
      <c r="G13" s="13" t="inlineStr"/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18" customHeight="1">
      <c r="A18" s="5" t="n">
        <v>14</v>
      </c>
      <c r="B18" s="6">
        <f>MAESTRO!B18</f>
        <v/>
      </c>
      <c r="C18" s="6">
        <f>MAESTRO!C18</f>
        <v/>
      </c>
      <c r="D18" s="12" t="inlineStr">
        <is>
          <t>NO</t>
        </is>
      </c>
      <c r="E18" s="14" t="inlineStr"/>
      <c r="F18" s="12">
        <f>IF(D18="SI","✔ ACCESO","✘ SIN ACCESO")</f>
        <v/>
      </c>
      <c r="G18" s="14" t="inlineStr"/>
    </row>
    <row r="19" ht="18" customHeight="1">
      <c r="A19" s="7" t="n">
        <v>15</v>
      </c>
      <c r="B19" s="8">
        <f>MAESTRO!B19</f>
        <v/>
      </c>
      <c r="C19" s="8">
        <f>MAESTRO!C19</f>
        <v/>
      </c>
      <c r="D19" s="12" t="inlineStr">
        <is>
          <t>NO</t>
        </is>
      </c>
      <c r="E19" s="13" t="inlineStr"/>
      <c r="F19" s="12">
        <f>IF(D19="SI","✔ ACCESO","✘ SIN ACCESO")</f>
        <v/>
      </c>
      <c r="G19" s="13" t="inlineStr"/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8" customHeight="1">
      <c r="A24" s="5" t="n">
        <v>20</v>
      </c>
      <c r="B24" s="6">
        <f>MAESTRO!B24</f>
        <v/>
      </c>
      <c r="C24" s="6">
        <f>MAESTRO!C24</f>
        <v/>
      </c>
      <c r="D24" s="12" t="inlineStr">
        <is>
          <t>NO</t>
        </is>
      </c>
      <c r="E24" s="14" t="inlineStr"/>
      <c r="F24" s="12">
        <f>IF(D24="SI","✔ ACCESO","✘ SIN ACCESO")</f>
        <v/>
      </c>
      <c r="G24" s="14" t="inlineStr"/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Agosto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78" customHeight="1">
      <c r="A5" s="7" t="n">
        <v>1</v>
      </c>
      <c r="B5" s="8">
        <f>MAESTRO!B5</f>
        <v/>
      </c>
      <c r="C5" s="8">
        <f>MAESTRO!C5</f>
        <v/>
      </c>
      <c r="D5" s="20" t="inlineStr">
        <is>
          <t>SI</t>
        </is>
      </c>
      <c r="E5" s="21" t="n">
        <v>46247</v>
      </c>
      <c r="F5" s="20">
        <f>IF(D5="SI","✔ ACCESO","✘ SIN ACCESO")</f>
        <v/>
      </c>
      <c r="G5" s="22" t="inlineStr">
        <is>
          <t>• Cano Sandoya Alexander David
• Cano Tixe Luis Alejandro
• Gavilanes Miño Julio Cesar
• Macias Morales Francisco Humberto
• Castro Villa Diker Eliud
• Parraga Vaca Edgar Elicio
(2 planillas: FrankMetal S.A.S. + Fran-Metal Taller Industrial)</t>
        </is>
      </c>
    </row>
    <row r="6" ht="169" customHeight="1">
      <c r="A6" s="5" t="n">
        <v>2</v>
      </c>
      <c r="B6" s="6">
        <f>MAESTRO!B6</f>
        <v/>
      </c>
      <c r="C6" s="6">
        <f>MAESTRO!C6</f>
        <v/>
      </c>
      <c r="D6" s="20" t="inlineStr">
        <is>
          <t>SI</t>
        </is>
      </c>
      <c r="E6" s="21" t="n">
        <v>46250</v>
      </c>
      <c r="F6" s="20">
        <f>IF(D6="SI","✔ ACCESO","✘ SIN ACCESO")</f>
        <v/>
      </c>
      <c r="G6" s="23" t="inlineStr">
        <is>
          <t>• Aguilar Valverde Dubert Uwaldo
• Arguello Medina Wilmer Ricardo
• Cabrera Cabrera Juan Pablo
• Cabrera Rodriguez Angel Andres
• Chalba Burgos Franklin Oswaldo
• Llamba Benavides Victor Elias
• Palma Macias Leandro Wladimir
• Pincay Matute Ney Esteban
• Quiñonez Garcia Dixon Antonio
• Romero Cegido Jorge Luis
• Teran Boza Stalin Cristhofer
• Zamora Vite Vicente Geovan
• Quiñonez Garcia Dailer Fernando</t>
        </is>
      </c>
    </row>
    <row r="7" ht="143" customHeight="1">
      <c r="A7" s="7" t="n">
        <v>3</v>
      </c>
      <c r="B7" s="8">
        <f>MAESTRO!B7</f>
        <v/>
      </c>
      <c r="C7" s="8">
        <f>MAESTRO!C7</f>
        <v/>
      </c>
      <c r="D7" s="20" t="inlineStr">
        <is>
          <t>SI</t>
        </is>
      </c>
      <c r="E7" s="21" t="n">
        <v>46248</v>
      </c>
      <c r="F7" s="20">
        <f>IF(D7="SI","✔ ACCESO","✘ SIN ACCESO")</f>
        <v/>
      </c>
      <c r="G7" s="22" t="inlineStr">
        <is>
          <t>• Chalacama Basurto Carlos Manuel
• Guaranda Cordova Luis Andres
• Guaranda Morales Carlos Daniel
• Guaranda Zambrano Luis Andres
• Hidrovo Solorzano Leonardo Lisandro
• Jimenez Merchan Jefferson Medardo
• Renteria Fajardo Daniel Jackson
• Verdesoto Marcillo Alexander Patricio
• Zambrano Trejo Luis Alberto
• Chalacama Basurto Remigio Antonio
• Carranza Sanchez Carlos Alfredo</t>
        </is>
      </c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20" t="inlineStr">
        <is>
          <t>SI</t>
        </is>
      </c>
      <c r="E9" s="21" t="n">
        <v>46247</v>
      </c>
      <c r="F9" s="20">
        <f>IF(D9="SI","✔ ACCESO","✘ SIN ACCESO")</f>
        <v/>
      </c>
      <c r="G9" s="22" t="inlineStr">
        <is>
          <t>• Lam Gamboa Jonny Segundo
(Aviso de Entrada — Quevedo)</t>
        </is>
      </c>
    </row>
    <row r="10" ht="117" customHeight="1">
      <c r="A10" s="5" t="n">
        <v>6</v>
      </c>
      <c r="B10" s="6">
        <f>MAESTRO!B10</f>
        <v/>
      </c>
      <c r="C10" s="6">
        <f>MAESTRO!C10</f>
        <v/>
      </c>
      <c r="D10" s="20" t="inlineStr">
        <is>
          <t>SI</t>
        </is>
      </c>
      <c r="E10" s="21" t="n">
        <v>46251</v>
      </c>
      <c r="F10" s="20">
        <f>IF(D10="SI","✔ ACCESO","✘ SIN ACCESO")</f>
        <v/>
      </c>
      <c r="G10" s="23" t="inlineStr">
        <is>
          <t>• Andrade Calderon Victor Volivar
• Angulo Preciado Jhon Enrique
• Gavilanes Miño Jose Manuel
• Gavilanes Miño Julio Cesar
• Meza Sanchez William Tyron
• Montoya Moran Anthony Andres
• Sanchez Cabezas Bryan David
• Suarez Teran Carlos Rafael
• Villamar Chevez Mauricio Damian</t>
        </is>
      </c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52" customHeight="1">
      <c r="A13" s="7" t="n">
        <v>9</v>
      </c>
      <c r="B13" s="8">
        <f>MAESTRO!B13</f>
        <v/>
      </c>
      <c r="C13" s="8">
        <f>MAESTRO!C13</f>
        <v/>
      </c>
      <c r="D13" s="20" t="inlineStr">
        <is>
          <t>SI</t>
        </is>
      </c>
      <c r="E13" s="21" t="n">
        <v>46248</v>
      </c>
      <c r="F13" s="20">
        <f>IF(D13="SI","✔ ACCESO","✘ SIN ACCESO")</f>
        <v/>
      </c>
      <c r="G13" s="22" t="inlineStr">
        <is>
          <t>• Asimbaya Tapia Jose Ramiro
• Gonzalez Sanchez Jonathan Fabian
• Lascano Anchundia Darwin Eduardo
• Zambrano Suarez Luis Miguel
(2 planillas: ASIMA S.A.S. + Asimbaya Tapia José Ramiro)</t>
        </is>
      </c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20" t="inlineStr">
        <is>
          <t>SI</t>
        </is>
      </c>
      <c r="E16" s="21" t="n">
        <v>46247</v>
      </c>
      <c r="F16" s="20">
        <f>IF(D16="SI","✔ ACCESO","✘ SIN ACCESO")</f>
        <v/>
      </c>
      <c r="G16" s="23" t="inlineStr">
        <is>
          <t>• Aycart Perez Yordan Francisco
(Comprobante de pago — solo titular)</t>
        </is>
      </c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26" customHeight="1">
      <c r="A18" s="5" t="n">
        <v>14</v>
      </c>
      <c r="B18" s="6">
        <f>MAESTRO!B18</f>
        <v/>
      </c>
      <c r="C18" s="6">
        <f>MAESTRO!C18</f>
        <v/>
      </c>
      <c r="D18" s="20" t="inlineStr">
        <is>
          <t>SI</t>
        </is>
      </c>
      <c r="E18" s="21" t="n">
        <v>46258</v>
      </c>
      <c r="F18" s="20">
        <f>IF(D18="SI","✔ ACCESO","✘ SIN ACCESO")</f>
        <v/>
      </c>
      <c r="G18" s="23" t="inlineStr">
        <is>
          <t>• Pluas Fajardo Orly Enrique
• Davila Giler Jhon Michael
(Avisos de Entrada D-NETSOF — Quevedo)</t>
        </is>
      </c>
    </row>
    <row r="19" ht="18" customHeight="1">
      <c r="A19" s="7" t="n">
        <v>15</v>
      </c>
      <c r="B19" s="8">
        <f>MAESTRO!B19</f>
        <v/>
      </c>
      <c r="C19" s="8">
        <f>MAESTRO!C19</f>
        <v/>
      </c>
      <c r="D19" s="12" t="inlineStr">
        <is>
          <t>NO</t>
        </is>
      </c>
      <c r="E19" s="13" t="inlineStr"/>
      <c r="F19" s="12">
        <f>IF(D19="SI","✔ ACCESO","✘ SIN ACCESO")</f>
        <v/>
      </c>
      <c r="G19" s="13" t="inlineStr"/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8" customHeight="1">
      <c r="A24" s="5" t="n">
        <v>20</v>
      </c>
      <c r="B24" s="6">
        <f>MAESTRO!B24</f>
        <v/>
      </c>
      <c r="C24" s="6">
        <f>MAESTRO!C24</f>
        <v/>
      </c>
      <c r="D24" s="12" t="inlineStr">
        <is>
          <t>NO</t>
        </is>
      </c>
      <c r="E24" s="14" t="inlineStr"/>
      <c r="F24" s="12">
        <f>IF(D24="SI","✔ ACCESO","✘ SIN ACCESO")</f>
        <v/>
      </c>
      <c r="G24" s="14" t="inlineStr"/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Septiembre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91" customHeight="1">
      <c r="A5" s="7" t="n">
        <v>1</v>
      </c>
      <c r="B5" s="8">
        <f>MAESTRO!B5</f>
        <v/>
      </c>
      <c r="C5" s="8">
        <f>MAESTRO!C5</f>
        <v/>
      </c>
      <c r="D5" s="20" t="inlineStr">
        <is>
          <t>SI</t>
        </is>
      </c>
      <c r="E5" s="21" t="n">
        <v>46279</v>
      </c>
      <c r="F5" s="20">
        <f>IF(D5="SI","✔ ACCESO","✘ SIN ACCESO")</f>
        <v/>
      </c>
      <c r="G5" s="22" t="inlineStr">
        <is>
          <t>• Castro Villa Diker Eliud
• Parraga Vaca Edgar Elicio
• Cano Sandoya Alexander David
• Cano Tixe Luis Alejandro
• Macias Morales Anderson Bryan
• Zambrano Solorzano Victor Hugo
• Macias Morales Francisco Humberto
(2 planillas: FrankMetal S.A.S. + Fran-Metal Taller Industrial | Período 2026-08)</t>
        </is>
      </c>
    </row>
    <row r="6" ht="78" customHeight="1">
      <c r="A6" s="5" t="n">
        <v>2</v>
      </c>
      <c r="B6" s="6">
        <f>MAESTRO!B6</f>
        <v/>
      </c>
      <c r="C6" s="6">
        <f>MAESTRO!C6</f>
        <v/>
      </c>
      <c r="D6" s="20" t="inlineStr">
        <is>
          <t>SI</t>
        </is>
      </c>
      <c r="E6" s="21" t="n">
        <v>46281</v>
      </c>
      <c r="F6" s="20">
        <f>IF(D6="SI","✔ ACCESO","✘ SIN ACCESO")</f>
        <v/>
      </c>
      <c r="G6" s="23" t="inlineStr">
        <is>
          <t>• Aguilar Valverde Dubert Uwaldo
• Palma Macias Leandro Wladimir
• Quiñonez Garcia Dixon Antonio
• Romero Cegido Jorge Luis
• Zamora Vite Vicente Geovan
• Quiñonez Garcia Dailer Fernando
(Período 2026-08)</t>
        </is>
      </c>
    </row>
    <row r="7" ht="91" customHeight="1">
      <c r="A7" s="7" t="n">
        <v>3</v>
      </c>
      <c r="B7" s="8">
        <f>MAESTRO!B7</f>
        <v/>
      </c>
      <c r="C7" s="8">
        <f>MAESTRO!C7</f>
        <v/>
      </c>
      <c r="D7" s="20" t="inlineStr">
        <is>
          <t>SI</t>
        </is>
      </c>
      <c r="E7" s="21" t="n">
        <v>46281</v>
      </c>
      <c r="F7" s="20">
        <f>IF(D7="SI","✔ ACCESO","✘ SIN ACCESO")</f>
        <v/>
      </c>
      <c r="G7" s="22" t="inlineStr">
        <is>
          <t>• Chalacama Basurto Carlos Manuel
• Hidrovo Solorzano Leonardo Lisandro
• Jimenez Merchan Jefferson Medardo
• Renteria Fajardo Daniel Jackson
• Zambrano Trejo Luis Alberto
• Chalacama Basurto Remigio Antonio
• Carranza Sanchez Carlos Alfredo
(Planilla 2026-08 + Aviso de Entrada Renteria Fajardo 16/09/2026)</t>
        </is>
      </c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20" t="inlineStr">
        <is>
          <t>SI</t>
        </is>
      </c>
      <c r="E9" s="21" t="n">
        <v>46279</v>
      </c>
      <c r="F9" s="20">
        <f>IF(D9="SI","✔ ACCESO","✘ SIN ACCESO")</f>
        <v/>
      </c>
      <c r="G9" s="22" t="inlineStr">
        <is>
          <t>• Lam Gamboa Jonny Segundo
(Aviso de Entrada — afectación 14/09/2026, Quevedo)</t>
        </is>
      </c>
    </row>
    <row r="10" ht="65" customHeight="1">
      <c r="A10" s="5" t="n">
        <v>6</v>
      </c>
      <c r="B10" s="6">
        <f>MAESTRO!B10</f>
        <v/>
      </c>
      <c r="C10" s="6">
        <f>MAESTRO!C10</f>
        <v/>
      </c>
      <c r="D10" s="20" t="inlineStr">
        <is>
          <t>SI</t>
        </is>
      </c>
      <c r="E10" s="21" t="n">
        <v>46272</v>
      </c>
      <c r="F10" s="20">
        <f>IF(D10="SI","✔ ACCESO","✘ SIN ACCESO")</f>
        <v/>
      </c>
      <c r="G10" s="23" t="inlineStr">
        <is>
          <t>• Andrade Calderon Victor Volivar
• Angulo Preciado Jhon Enrique
• Beltran Jimenez Walter Oswaldo
• Navarrete Navarrete Luis Alejandro
• Villamar Chevez Mauricio Damian
(Período 2026-08)</t>
        </is>
      </c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52" customHeight="1">
      <c r="A13" s="7" t="n">
        <v>9</v>
      </c>
      <c r="B13" s="8">
        <f>MAESTRO!B13</f>
        <v/>
      </c>
      <c r="C13" s="8">
        <f>MAESTRO!C13</f>
        <v/>
      </c>
      <c r="D13" s="20" t="inlineStr">
        <is>
          <t>SI</t>
        </is>
      </c>
      <c r="E13" s="21" t="n">
        <v>46280</v>
      </c>
      <c r="F13" s="20">
        <f>IF(D13="SI","✔ ACCESO","✘ SIN ACCESO")</f>
        <v/>
      </c>
      <c r="G13" s="22" t="inlineStr">
        <is>
          <t>• Asimbaya Tapia Jose Ramiro
• Gonzalez Sanchez Jonathan Fabian
• Lascano Anchundia Darwin Eduardo
• Zambrano Suarez Luis Miguel
(2 planillas: ASIMA S.A.S. + Asimbaya Tapia José Ramiro | Período 2026-08)</t>
        </is>
      </c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26" customHeight="1">
      <c r="A18" s="5" t="n">
        <v>14</v>
      </c>
      <c r="B18" s="6">
        <f>MAESTRO!B18</f>
        <v/>
      </c>
      <c r="C18" s="6">
        <f>MAESTRO!C18</f>
        <v/>
      </c>
      <c r="D18" s="20" t="inlineStr">
        <is>
          <t>SI</t>
        </is>
      </c>
      <c r="E18" s="21" t="n">
        <v>46283</v>
      </c>
      <c r="F18" s="20">
        <f>IF(D18="SI","✔ ACCESO","✘ SIN ACCESO")</f>
        <v/>
      </c>
      <c r="G18" s="23" t="inlineStr">
        <is>
          <t>• Davila Giler Jhon Michael
• Pluas Fajardo Orly Enrique
(D-NETSOF | Período 2026-08 | RT 16 tiempo parcial)</t>
        </is>
      </c>
    </row>
    <row r="19" ht="104" customHeight="1">
      <c r="A19" s="7" t="n">
        <v>15</v>
      </c>
      <c r="B19" s="8">
        <f>MAESTRO!B19</f>
        <v/>
      </c>
      <c r="C19" s="8">
        <f>MAESTRO!C19</f>
        <v/>
      </c>
      <c r="D19" s="20" t="inlineStr">
        <is>
          <t>SI</t>
        </is>
      </c>
      <c r="E19" s="21" t="n">
        <v>46279</v>
      </c>
      <c r="F19" s="20">
        <f>IF(D19="SI","✔ ACCESO","✘ SIN ACCESO")</f>
        <v/>
      </c>
      <c r="G19" s="22" t="inlineStr">
        <is>
          <t>• Salazar Zambrano Wilmer Antonio
• Salazar Rodriguez Dejan Josue
• Riso Quintana Derlis Fernando
• Rizo Quintana Sergio Stalin
• Laaz Almeida Jordy Ariel
• Valencia Mendoza Edwin David
• Mendez Pinargote Kelvin Jose
• Alarcon Castillo Wencialao Gerson
(Período 2026-08)</t>
        </is>
      </c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17" customHeight="1">
      <c r="A24" s="5" t="n">
        <v>20</v>
      </c>
      <c r="B24" s="6">
        <f>MAESTRO!B24</f>
        <v/>
      </c>
      <c r="C24" s="6">
        <f>MAESTRO!C24</f>
        <v/>
      </c>
      <c r="D24" s="20" t="inlineStr">
        <is>
          <t>SI</t>
        </is>
      </c>
      <c r="E24" s="21" t="n">
        <v>46281</v>
      </c>
      <c r="F24" s="20">
        <f>IF(D24="SI","✔ ACCESO","✘ SIN ACCESO")</f>
        <v/>
      </c>
      <c r="G24" s="23" t="inlineStr">
        <is>
          <t>• Aguayo Tigse Kevin Marcelo
• Castro Proaño Francisco Javier
• Gomez Guama Kenny Julian
• Lozada Amaguaña Giovanny Danilo
• Moreta Tasinchano Evelyn Vanessa
• Palma Camacho Anthony Gerardo
• Ramos Guevara Nelson Leonardo
• Rosario Moreira Luis Alejandro
• Palma Tasinchano Borys Jonathan
(Nueva contratista | Período 2026-08)</t>
        </is>
      </c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Octubre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78" customHeight="1">
      <c r="A5" s="7" t="n">
        <v>1</v>
      </c>
      <c r="B5" s="8">
        <f>MAESTRO!B5</f>
        <v/>
      </c>
      <c r="C5" s="8">
        <f>MAESTRO!C5</f>
        <v/>
      </c>
      <c r="D5" s="20" t="inlineStr">
        <is>
          <t>SI</t>
        </is>
      </c>
      <c r="E5" s="21" t="n">
        <v>46309</v>
      </c>
      <c r="F5" s="20">
        <f>IF(D5="SI","✔ ACCESO","✘ SIN ACCESO")</f>
        <v/>
      </c>
      <c r="G5" s="22" t="inlineStr">
        <is>
          <t>• Castro Villa Diker Eliud
• Parraga Vaca Edgar Elicio
• Cano Sandoya Alexander David
• Cano Tixe Luis Alejandro
• Macias Morales Anderson Bryan
• Macias Morales Francisco Humberto
(2 planillas: FrankMetal S.A.S. + Fran-Metal Taller Industrial | Período 2026-09)</t>
        </is>
      </c>
    </row>
    <row r="6" ht="117" customHeight="1">
      <c r="A6" s="5" t="n">
        <v>2</v>
      </c>
      <c r="B6" s="6">
        <f>MAESTRO!B6</f>
        <v/>
      </c>
      <c r="C6" s="6">
        <f>MAESTRO!C6</f>
        <v/>
      </c>
      <c r="D6" s="20" t="inlineStr">
        <is>
          <t>SI</t>
        </is>
      </c>
      <c r="E6" s="21" t="n">
        <v>46311</v>
      </c>
      <c r="F6" s="20">
        <f>IF(D6="SI","✔ ACCESO","✘ SIN ACCESO")</f>
        <v/>
      </c>
      <c r="G6" s="23" t="inlineStr">
        <is>
          <t>• Aguilar Valverde Dubert Uwaldo
• Palma Macias Leandro Wladimir
• Quiñonez Garcia Dixon Antonio
• Romero Cegido Jorge Luis
• Quiñonez Garcia Dailer Fernando
• Arguello Medina Wilmer Ricardo
• Cabrera Cabrera Juan Pablo
• Cabrera Rodriguez Angel Andres
• Mendoza Suarez Neicer Armando
(Planilla IESS período 2026-09 + 4 Avisos de Entrada (05/10 y 16/10))</t>
        </is>
      </c>
    </row>
    <row r="7" ht="78" customHeight="1">
      <c r="A7" s="7" t="n">
        <v>3</v>
      </c>
      <c r="B7" s="8">
        <f>MAESTRO!B7</f>
        <v/>
      </c>
      <c r="C7" s="8">
        <f>MAESTRO!C7</f>
        <v/>
      </c>
      <c r="D7" s="20" t="inlineStr">
        <is>
          <t>SI</t>
        </is>
      </c>
      <c r="E7" s="21" t="n">
        <v>46308</v>
      </c>
      <c r="F7" s="20">
        <f>IF(D7="SI","✔ ACCESO","✘ SIN ACCESO")</f>
        <v/>
      </c>
      <c r="G7" s="22" t="inlineStr">
        <is>
          <t>• Chalacama Basurto Carlos Manuel
• Guaranda Cordova Luis Andres
• Guaranda Zambrano Luis Andres
• Renteria Fajardo Daniel Jackson
• Zambrano Trejo Luis Alberto
• Chalacama Basurto Remigio Antonio
(Período 2026-09 | Jimenez Merchan Jefferson Medardo: AJUSTE/MND (nota de crédito, no cuenta))</t>
        </is>
      </c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20" t="inlineStr">
        <is>
          <t>SI</t>
        </is>
      </c>
      <c r="E9" s="21" t="n">
        <v>46309</v>
      </c>
      <c r="F9" s="20">
        <f>IF(D9="SI","✔ ACCESO","✘ SIN ACCESO")</f>
        <v/>
      </c>
      <c r="G9" s="22" t="inlineStr">
        <is>
          <t>• Lam Gamboa Jonny Segundo
(Aviso de Entrada — Quevedo | 14/10/2026)</t>
        </is>
      </c>
    </row>
    <row r="10" ht="143" customHeight="1">
      <c r="A10" s="5" t="n">
        <v>6</v>
      </c>
      <c r="B10" s="6">
        <f>MAESTRO!B10</f>
        <v/>
      </c>
      <c r="C10" s="6">
        <f>MAESTRO!C10</f>
        <v/>
      </c>
      <c r="D10" s="20" t="inlineStr">
        <is>
          <t>SI</t>
        </is>
      </c>
      <c r="E10" s="21" t="n">
        <v>46314</v>
      </c>
      <c r="F10" s="20">
        <f>IF(D10="SI","✔ ACCESO","✘ SIN ACCESO")</f>
        <v/>
      </c>
      <c r="G10" s="23" t="inlineStr">
        <is>
          <t>• Andrade Calderon Victor Volivar
• Angulo Preciado Jhon Enrique
• Barclay Suarez Jose Carlos
• Beltran Jimenez Walter Oswaldo
• Gonzalez Aviles Jonathan Stalin
• Lozada Palacios Adrian Anibal
• Navarrete Navarrete Luis Alejandro
• Rocafuerte Alvarado Alex Jairo
• Sandoval Rivera Jose Luis
• Velez Mure Juan Carlos
• Villamar Chevez Mauricio Damian
(Período 2026-09)</t>
        </is>
      </c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52" customHeight="1">
      <c r="A13" s="7" t="n">
        <v>9</v>
      </c>
      <c r="B13" s="8">
        <f>MAESTRO!B13</f>
        <v/>
      </c>
      <c r="C13" s="8">
        <f>MAESTRO!C13</f>
        <v/>
      </c>
      <c r="D13" s="20" t="inlineStr">
        <is>
          <t>SI</t>
        </is>
      </c>
      <c r="E13" s="21" t="n">
        <v>46310</v>
      </c>
      <c r="F13" s="20">
        <f>IF(D13="SI","✔ ACCESO","✘ SIN ACCESO")</f>
        <v/>
      </c>
      <c r="G13" s="22" t="inlineStr">
        <is>
          <t>• Asimbaya Tapia Jose Ramiro
• Gonzalez Sanchez Jonathan Fabian
• Lascano Anchundia Darwin Eduardo
• Zambrano Suarez Luis Miguel
(2 planillas: ASIMA S.A.S. + Asimbaya Tapia José Ramiro | Período 2026-09)</t>
        </is>
      </c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26" customHeight="1">
      <c r="A18" s="5" t="n">
        <v>14</v>
      </c>
      <c r="B18" s="6">
        <f>MAESTRO!B18</f>
        <v/>
      </c>
      <c r="C18" s="6">
        <f>MAESTRO!C18</f>
        <v/>
      </c>
      <c r="D18" s="20" t="inlineStr">
        <is>
          <t>SI</t>
        </is>
      </c>
      <c r="E18" s="21" t="n">
        <v>46302</v>
      </c>
      <c r="F18" s="20">
        <f>IF(D18="SI","✔ ACCESO","✘ SIN ACCESO")</f>
        <v/>
      </c>
      <c r="G18" s="23" t="inlineStr">
        <is>
          <t>• Pluas Fajardo Orly Enrique
• Davila Giler Jhon Michael
(D-NETSOF | Avisos de Entrada 07/10/2026)</t>
        </is>
      </c>
    </row>
    <row r="19" ht="65" customHeight="1">
      <c r="A19" s="7" t="n">
        <v>15</v>
      </c>
      <c r="B19" s="8">
        <f>MAESTRO!B19</f>
        <v/>
      </c>
      <c r="C19" s="8">
        <f>MAESTRO!C19</f>
        <v/>
      </c>
      <c r="D19" s="20" t="inlineStr">
        <is>
          <t>SI</t>
        </is>
      </c>
      <c r="E19" s="21" t="n">
        <v>46309</v>
      </c>
      <c r="F19" s="20">
        <f>IF(D19="SI","✔ ACCESO","✘ SIN ACCESO")</f>
        <v/>
      </c>
      <c r="G19" s="22" t="inlineStr">
        <is>
          <t>• Salazar Zambrano Wilmer Antonio
• Salazar Rodriguez Derian Josue
• Mendez Pinargote Kelvin Jose
• Laaz Almeida Jordy Ariel
• Alarcon Castillo Wencialao Gerson
(Período 2026-09)</t>
        </is>
      </c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30" customHeight="1">
      <c r="A24" s="5" t="n">
        <v>20</v>
      </c>
      <c r="B24" s="6">
        <f>MAESTRO!B24</f>
        <v/>
      </c>
      <c r="C24" s="6">
        <f>MAESTRO!C24</f>
        <v/>
      </c>
      <c r="D24" s="20" t="inlineStr">
        <is>
          <t>SI</t>
        </is>
      </c>
      <c r="E24" s="21" t="n">
        <v>46309</v>
      </c>
      <c r="F24" s="20">
        <f>IF(D24="SI","✔ ACCESO","✘ SIN ACCESO")</f>
        <v/>
      </c>
      <c r="G24" s="23" t="inlineStr">
        <is>
          <t>• Aguayo Tigse Kevin Marcelo
• Castro Proaño Francisco Javier
• Gomez Guama Kenny Julian
• Lozada Amaguaña Giovanny Danilo
• Moreta Tasinchano Evelyn Vanessa
• Palma Camacho Anthony Gerardo
• Ramos Guevara Nelson Leonardo
• Rosario Moreira Luis Alejandro
• Tasinchano Osorio Carlos Alberto
• Palma Tasinchano Borys Jonathan
(Período 2026-09 | Tasinchano Osorio Carlos Alberto: nuevo trabajador)</t>
        </is>
      </c>
    </row>
    <row r="25" ht="195" customHeight="1">
      <c r="A25" s="7" t="n">
        <v>21</v>
      </c>
      <c r="B25" s="8">
        <f>MAESTRO!B25</f>
        <v/>
      </c>
      <c r="C25" s="8">
        <f>MAESTRO!C25</f>
        <v/>
      </c>
      <c r="D25" s="20" t="inlineStr">
        <is>
          <t>SI</t>
        </is>
      </c>
      <c r="E25" s="21" t="n">
        <v>46310</v>
      </c>
      <c r="F25" s="20">
        <f>IF(D25="SI","✔ ACCESO","✘ SIN ACCESO")</f>
        <v/>
      </c>
      <c r="G25" s="22" t="inlineStr">
        <is>
          <t>• Arreaga Murillo Fernando Jhorley
• Avendaño Diaz Marvin Bolivar
• Cabezas Segura Jefferson David
• Carrillo Hernandez Eliel Antonio
• Chichanda Carrasco Elicio Antonio
• Correa Martinez Fernando Joseph
• Hernandez Suarez Adrian Arturo
• Hidalgo Ramirez Junior Eduardo
• Leon Bailon Edison Fabricio
• Lucas Avendaño Jordy Jesus
• Meza Fernandez Mariano Bolivar
• Muñoz Andrade Luis Helyer
• Murillo Robles Ricardo Jeronimo
• Quiñonez Tafur Jefferson Alejandro
• Cevallos Bravo Jose Grinolfo
(Nueva contratista | Planilla IESS período 2026-02 | Autorización ingreso: Quishpe Edison, Quishpe Marlon, Aguilar Nelson, Pinto Diego)</t>
        </is>
      </c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Noviembre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18" customHeight="1">
      <c r="A5" s="7" t="n">
        <v>1</v>
      </c>
      <c r="B5" s="8">
        <f>MAESTRO!B5</f>
        <v/>
      </c>
      <c r="C5" s="8">
        <f>MAESTRO!C5</f>
        <v/>
      </c>
      <c r="D5" s="12" t="inlineStr">
        <is>
          <t>NO</t>
        </is>
      </c>
      <c r="E5" s="13" t="inlineStr"/>
      <c r="F5" s="12">
        <f>IF(D5="SI","✔ ACCESO","✘ SIN ACCESO")</f>
        <v/>
      </c>
      <c r="G5" s="13" t="inlineStr"/>
    </row>
    <row r="6" ht="18" customHeight="1">
      <c r="A6" s="5" t="n">
        <v>2</v>
      </c>
      <c r="B6" s="6">
        <f>MAESTRO!B6</f>
        <v/>
      </c>
      <c r="C6" s="6">
        <f>MAESTRO!C6</f>
        <v/>
      </c>
      <c r="D6" s="12" t="inlineStr">
        <is>
          <t>NO</t>
        </is>
      </c>
      <c r="E6" s="14" t="inlineStr"/>
      <c r="F6" s="12">
        <f>IF(D6="SI","✔ ACCESO","✘ SIN ACCESO")</f>
        <v/>
      </c>
      <c r="G6" s="14" t="inlineStr"/>
    </row>
    <row r="7" ht="18" customHeight="1">
      <c r="A7" s="7" t="n">
        <v>3</v>
      </c>
      <c r="B7" s="8">
        <f>MAESTRO!B7</f>
        <v/>
      </c>
      <c r="C7" s="8">
        <f>MAESTRO!C7</f>
        <v/>
      </c>
      <c r="D7" s="12" t="inlineStr">
        <is>
          <t>NO</t>
        </is>
      </c>
      <c r="E7" s="13" t="inlineStr"/>
      <c r="F7" s="12">
        <f>IF(D7="SI","✔ ACCESO","✘ SIN ACCESO")</f>
        <v/>
      </c>
      <c r="G7" s="13" t="inlineStr"/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12" t="inlineStr">
        <is>
          <t>NO</t>
        </is>
      </c>
      <c r="E9" s="13" t="inlineStr"/>
      <c r="F9" s="12">
        <f>IF(D9="SI","✔ ACCESO","✘ SIN ACCESO")</f>
        <v/>
      </c>
      <c r="G9" s="13" t="inlineStr"/>
    </row>
    <row r="10" ht="18" customHeight="1">
      <c r="A10" s="5" t="n">
        <v>6</v>
      </c>
      <c r="B10" s="6">
        <f>MAESTRO!B10</f>
        <v/>
      </c>
      <c r="C10" s="6">
        <f>MAESTRO!C10</f>
        <v/>
      </c>
      <c r="D10" s="12" t="inlineStr">
        <is>
          <t>NO</t>
        </is>
      </c>
      <c r="E10" s="14" t="inlineStr"/>
      <c r="F10" s="12">
        <f>IF(D10="SI","✔ ACCESO","✘ SIN ACCESO")</f>
        <v/>
      </c>
      <c r="G10" s="14" t="inlineStr"/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18" customHeight="1">
      <c r="A13" s="7" t="n">
        <v>9</v>
      </c>
      <c r="B13" s="8">
        <f>MAESTRO!B13</f>
        <v/>
      </c>
      <c r="C13" s="8">
        <f>MAESTRO!C13</f>
        <v/>
      </c>
      <c r="D13" s="12" t="inlineStr">
        <is>
          <t>NO</t>
        </is>
      </c>
      <c r="E13" s="13" t="inlineStr"/>
      <c r="F13" s="12">
        <f>IF(D13="SI","✔ ACCESO","✘ SIN ACCESO")</f>
        <v/>
      </c>
      <c r="G13" s="13" t="inlineStr"/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18" customHeight="1">
      <c r="A18" s="5" t="n">
        <v>14</v>
      </c>
      <c r="B18" s="6">
        <f>MAESTRO!B18</f>
        <v/>
      </c>
      <c r="C18" s="6">
        <f>MAESTRO!C18</f>
        <v/>
      </c>
      <c r="D18" s="12" t="inlineStr">
        <is>
          <t>NO</t>
        </is>
      </c>
      <c r="E18" s="14" t="inlineStr"/>
      <c r="F18" s="12">
        <f>IF(D18="SI","✔ ACCESO","✘ SIN ACCESO")</f>
        <v/>
      </c>
      <c r="G18" s="14" t="inlineStr"/>
    </row>
    <row r="19" ht="18" customHeight="1">
      <c r="A19" s="7" t="n">
        <v>15</v>
      </c>
      <c r="B19" s="8">
        <f>MAESTRO!B19</f>
        <v/>
      </c>
      <c r="C19" s="8">
        <f>MAESTRO!C19</f>
        <v/>
      </c>
      <c r="D19" s="12" t="inlineStr">
        <is>
          <t>NO</t>
        </is>
      </c>
      <c r="E19" s="13" t="inlineStr"/>
      <c r="F19" s="12">
        <f>IF(D19="SI","✔ ACCESO","✘ SIN ACCESO")</f>
        <v/>
      </c>
      <c r="G19" s="13" t="inlineStr"/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8" customHeight="1">
      <c r="A24" s="5" t="n">
        <v>20</v>
      </c>
      <c r="B24" s="6">
        <f>MAESTRO!B24</f>
        <v/>
      </c>
      <c r="C24" s="6">
        <f>MAESTRO!C24</f>
        <v/>
      </c>
      <c r="D24" s="12" t="inlineStr">
        <is>
          <t>NO</t>
        </is>
      </c>
      <c r="E24" s="14" t="inlineStr"/>
      <c r="F24" s="12">
        <f>IF(D24="SI","✔ ACCESO","✘ SIN ACCESO")</f>
        <v/>
      </c>
      <c r="G24" s="14" t="inlineStr"/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 ht="32" customHeight="1">
      <c r="A1" s="9" t="inlineStr">
        <is>
          <t>PLANTABAL S.A. / 3A CORE MATERIALS — CONTROL DE ACCESO DE CONTRATISTAS</t>
        </is>
      </c>
    </row>
    <row r="2" ht="18" customHeight="1">
      <c r="A2" s="10" t="inlineStr">
        <is>
          <t>Período: Diciembre 2026  |  Planta: Quevedo  |  Responsable: Héctor Clavijo</t>
        </is>
      </c>
    </row>
    <row r="3" ht="18" customHeight="1">
      <c r="A3" s="3" t="inlineStr">
        <is>
          <t>Documento habilitante: Planilla de pago IESS (recepción máximo el día 15 de cada mes)</t>
        </is>
      </c>
    </row>
    <row r="4" ht="36" customHeight="1">
      <c r="A4" s="11" t="inlineStr">
        <is>
          <t>N°</t>
        </is>
      </c>
      <c r="B4" s="11" t="inlineStr">
        <is>
          <t>Nombre de la Contratista</t>
        </is>
      </c>
      <c r="C4" s="11" t="inlineStr">
        <is>
          <t>Nombre del Encargado</t>
        </is>
      </c>
      <c r="D4" s="11" t="inlineStr">
        <is>
          <t>Planilla IESS
recibida</t>
        </is>
      </c>
      <c r="E4" s="11" t="inlineStr">
        <is>
          <t>Fecha de
recepción</t>
        </is>
      </c>
      <c r="F4" s="11" t="inlineStr">
        <is>
          <t>¿Acceso
permitido?</t>
        </is>
      </c>
      <c r="G4" s="11" t="inlineStr">
        <is>
          <t>Observaciones</t>
        </is>
      </c>
    </row>
    <row r="5" ht="18" customHeight="1">
      <c r="A5" s="7" t="n">
        <v>1</v>
      </c>
      <c r="B5" s="8">
        <f>MAESTRO!B5</f>
        <v/>
      </c>
      <c r="C5" s="8">
        <f>MAESTRO!C5</f>
        <v/>
      </c>
      <c r="D5" s="12" t="inlineStr">
        <is>
          <t>NO</t>
        </is>
      </c>
      <c r="E5" s="13" t="inlineStr"/>
      <c r="F5" s="12">
        <f>IF(D5="SI","✔ ACCESO","✘ SIN ACCESO")</f>
        <v/>
      </c>
      <c r="G5" s="13" t="inlineStr"/>
    </row>
    <row r="6" ht="18" customHeight="1">
      <c r="A6" s="5" t="n">
        <v>2</v>
      </c>
      <c r="B6" s="6">
        <f>MAESTRO!B6</f>
        <v/>
      </c>
      <c r="C6" s="6">
        <f>MAESTRO!C6</f>
        <v/>
      </c>
      <c r="D6" s="12" t="inlineStr">
        <is>
          <t>NO</t>
        </is>
      </c>
      <c r="E6" s="14" t="inlineStr"/>
      <c r="F6" s="12">
        <f>IF(D6="SI","✔ ACCESO","✘ SIN ACCESO")</f>
        <v/>
      </c>
      <c r="G6" s="14" t="inlineStr"/>
    </row>
    <row r="7" ht="18" customHeight="1">
      <c r="A7" s="7" t="n">
        <v>3</v>
      </c>
      <c r="B7" s="8">
        <f>MAESTRO!B7</f>
        <v/>
      </c>
      <c r="C7" s="8">
        <f>MAESTRO!C7</f>
        <v/>
      </c>
      <c r="D7" s="12" t="inlineStr">
        <is>
          <t>NO</t>
        </is>
      </c>
      <c r="E7" s="13" t="inlineStr"/>
      <c r="F7" s="12">
        <f>IF(D7="SI","✔ ACCESO","✘ SIN ACCESO")</f>
        <v/>
      </c>
      <c r="G7" s="13" t="inlineStr"/>
    </row>
    <row r="8" ht="18" customHeight="1">
      <c r="A8" s="5" t="n">
        <v>4</v>
      </c>
      <c r="B8" s="6">
        <f>MAESTRO!B8</f>
        <v/>
      </c>
      <c r="C8" s="6">
        <f>MAESTRO!C8</f>
        <v/>
      </c>
      <c r="D8" s="12" t="inlineStr">
        <is>
          <t>NO</t>
        </is>
      </c>
      <c r="E8" s="14" t="inlineStr"/>
      <c r="F8" s="12">
        <f>IF(D8="SI","✔ ACCESO","✘ SIN ACCESO")</f>
        <v/>
      </c>
      <c r="G8" s="14" t="inlineStr"/>
    </row>
    <row r="9" ht="18" customHeight="1">
      <c r="A9" s="7" t="n">
        <v>5</v>
      </c>
      <c r="B9" s="8">
        <f>MAESTRO!B9</f>
        <v/>
      </c>
      <c r="C9" s="8">
        <f>MAESTRO!C9</f>
        <v/>
      </c>
      <c r="D9" s="12" t="inlineStr">
        <is>
          <t>NO</t>
        </is>
      </c>
      <c r="E9" s="13" t="inlineStr"/>
      <c r="F9" s="12">
        <f>IF(D9="SI","✔ ACCESO","✘ SIN ACCESO")</f>
        <v/>
      </c>
      <c r="G9" s="13" t="inlineStr"/>
    </row>
    <row r="10" ht="18" customHeight="1">
      <c r="A10" s="5" t="n">
        <v>6</v>
      </c>
      <c r="B10" s="6">
        <f>MAESTRO!B10</f>
        <v/>
      </c>
      <c r="C10" s="6">
        <f>MAESTRO!C10</f>
        <v/>
      </c>
      <c r="D10" s="12" t="inlineStr">
        <is>
          <t>NO</t>
        </is>
      </c>
      <c r="E10" s="14" t="inlineStr"/>
      <c r="F10" s="12">
        <f>IF(D10="SI","✔ ACCESO","✘ SIN ACCESO")</f>
        <v/>
      </c>
      <c r="G10" s="14" t="inlineStr"/>
    </row>
    <row r="11" ht="18" customHeight="1">
      <c r="A11" s="7" t="n">
        <v>7</v>
      </c>
      <c r="B11" s="8">
        <f>MAESTRO!B11</f>
        <v/>
      </c>
      <c r="C11" s="8">
        <f>MAESTRO!C11</f>
        <v/>
      </c>
      <c r="D11" s="12" t="inlineStr">
        <is>
          <t>NO</t>
        </is>
      </c>
      <c r="E11" s="13" t="inlineStr"/>
      <c r="F11" s="12">
        <f>IF(D11="SI","✔ ACCESO","✘ SIN ACCESO")</f>
        <v/>
      </c>
      <c r="G11" s="13" t="inlineStr"/>
    </row>
    <row r="12" ht="18" customHeight="1">
      <c r="A12" s="5" t="n">
        <v>8</v>
      </c>
      <c r="B12" s="6">
        <f>MAESTRO!B12</f>
        <v/>
      </c>
      <c r="C12" s="6">
        <f>MAESTRO!C12</f>
        <v/>
      </c>
      <c r="D12" s="12" t="inlineStr">
        <is>
          <t>NO</t>
        </is>
      </c>
      <c r="E12" s="14" t="inlineStr"/>
      <c r="F12" s="12">
        <f>IF(D12="SI","✔ ACCESO","✘ SIN ACCESO")</f>
        <v/>
      </c>
      <c r="G12" s="14" t="inlineStr"/>
    </row>
    <row r="13" ht="18" customHeight="1">
      <c r="A13" s="7" t="n">
        <v>9</v>
      </c>
      <c r="B13" s="8">
        <f>MAESTRO!B13</f>
        <v/>
      </c>
      <c r="C13" s="8">
        <f>MAESTRO!C13</f>
        <v/>
      </c>
      <c r="D13" s="12" t="inlineStr">
        <is>
          <t>NO</t>
        </is>
      </c>
      <c r="E13" s="13" t="inlineStr"/>
      <c r="F13" s="12">
        <f>IF(D13="SI","✔ ACCESO","✘ SIN ACCESO")</f>
        <v/>
      </c>
      <c r="G13" s="13" t="inlineStr"/>
    </row>
    <row r="14" ht="18" customHeight="1">
      <c r="A14" s="5" t="n">
        <v>10</v>
      </c>
      <c r="B14" s="6">
        <f>MAESTRO!B14</f>
        <v/>
      </c>
      <c r="C14" s="6">
        <f>MAESTRO!C14</f>
        <v/>
      </c>
      <c r="D14" s="12" t="inlineStr">
        <is>
          <t>NO</t>
        </is>
      </c>
      <c r="E14" s="14" t="inlineStr"/>
      <c r="F14" s="12">
        <f>IF(D14="SI","✔ ACCESO","✘ SIN ACCESO")</f>
        <v/>
      </c>
      <c r="G14" s="14" t="inlineStr"/>
    </row>
    <row r="15" ht="18" customHeight="1">
      <c r="A15" s="7" t="n">
        <v>11</v>
      </c>
      <c r="B15" s="8">
        <f>MAESTRO!B15</f>
        <v/>
      </c>
      <c r="C15" s="8">
        <f>MAESTRO!C15</f>
        <v/>
      </c>
      <c r="D15" s="12" t="inlineStr">
        <is>
          <t>NO</t>
        </is>
      </c>
      <c r="E15" s="13" t="inlineStr"/>
      <c r="F15" s="12">
        <f>IF(D15="SI","✔ ACCESO","✘ SIN ACCESO")</f>
        <v/>
      </c>
      <c r="G15" s="13" t="inlineStr"/>
    </row>
    <row r="16" ht="18" customHeight="1">
      <c r="A16" s="5" t="n">
        <v>12</v>
      </c>
      <c r="B16" s="6">
        <f>MAESTRO!B16</f>
        <v/>
      </c>
      <c r="C16" s="6">
        <f>MAESTRO!C16</f>
        <v/>
      </c>
      <c r="D16" s="12" t="inlineStr">
        <is>
          <t>NO</t>
        </is>
      </c>
      <c r="E16" s="14" t="inlineStr"/>
      <c r="F16" s="12">
        <f>IF(D16="SI","✔ ACCESO","✘ SIN ACCESO")</f>
        <v/>
      </c>
      <c r="G16" s="14" t="inlineStr"/>
    </row>
    <row r="17" ht="18" customHeight="1">
      <c r="A17" s="7" t="n">
        <v>13</v>
      </c>
      <c r="B17" s="8">
        <f>MAESTRO!B17</f>
        <v/>
      </c>
      <c r="C17" s="8">
        <f>MAESTRO!C17</f>
        <v/>
      </c>
      <c r="D17" s="12" t="inlineStr">
        <is>
          <t>NO</t>
        </is>
      </c>
      <c r="E17" s="13" t="inlineStr"/>
      <c r="F17" s="12">
        <f>IF(D17="SI","✔ ACCESO","✘ SIN ACCESO")</f>
        <v/>
      </c>
      <c r="G17" s="13" t="inlineStr"/>
    </row>
    <row r="18" ht="18" customHeight="1">
      <c r="A18" s="5" t="n">
        <v>14</v>
      </c>
      <c r="B18" s="6">
        <f>MAESTRO!B18</f>
        <v/>
      </c>
      <c r="C18" s="6">
        <f>MAESTRO!C18</f>
        <v/>
      </c>
      <c r="D18" s="12" t="inlineStr">
        <is>
          <t>NO</t>
        </is>
      </c>
      <c r="E18" s="14" t="inlineStr"/>
      <c r="F18" s="12">
        <f>IF(D18="SI","✔ ACCESO","✘ SIN ACCESO")</f>
        <v/>
      </c>
      <c r="G18" s="14" t="inlineStr"/>
    </row>
    <row r="19" ht="18" customHeight="1">
      <c r="A19" s="7" t="n">
        <v>15</v>
      </c>
      <c r="B19" s="8">
        <f>MAESTRO!B19</f>
        <v/>
      </c>
      <c r="C19" s="8">
        <f>MAESTRO!C19</f>
        <v/>
      </c>
      <c r="D19" s="12" t="inlineStr">
        <is>
          <t>NO</t>
        </is>
      </c>
      <c r="E19" s="13" t="inlineStr"/>
      <c r="F19" s="12">
        <f>IF(D19="SI","✔ ACCESO","✘ SIN ACCESO")</f>
        <v/>
      </c>
      <c r="G19" s="13" t="inlineStr"/>
    </row>
    <row r="20" ht="18" customHeight="1">
      <c r="A20" s="5" t="n">
        <v>16</v>
      </c>
      <c r="B20" s="6">
        <f>MAESTRO!B20</f>
        <v/>
      </c>
      <c r="C20" s="6">
        <f>MAESTRO!C20</f>
        <v/>
      </c>
      <c r="D20" s="12" t="inlineStr">
        <is>
          <t>NO</t>
        </is>
      </c>
      <c r="E20" s="14" t="inlineStr"/>
      <c r="F20" s="12">
        <f>IF(D20="SI","✔ ACCESO","✘ SIN ACCESO")</f>
        <v/>
      </c>
      <c r="G20" s="14" t="inlineStr"/>
    </row>
    <row r="21" ht="18" customHeight="1">
      <c r="A21" s="7" t="n">
        <v>17</v>
      </c>
      <c r="B21" s="8">
        <f>MAESTRO!B21</f>
        <v/>
      </c>
      <c r="C21" s="8">
        <f>MAESTRO!C21</f>
        <v/>
      </c>
      <c r="D21" s="12" t="inlineStr">
        <is>
          <t>NO</t>
        </is>
      </c>
      <c r="E21" s="13" t="inlineStr"/>
      <c r="F21" s="12">
        <f>IF(D21="SI","✔ ACCESO","✘ SIN ACCESO")</f>
        <v/>
      </c>
      <c r="G21" s="13" t="inlineStr"/>
    </row>
    <row r="22" ht="18" customHeight="1">
      <c r="A22" s="5" t="n">
        <v>18</v>
      </c>
      <c r="B22" s="6">
        <f>MAESTRO!B22</f>
        <v/>
      </c>
      <c r="C22" s="6">
        <f>MAESTRO!C22</f>
        <v/>
      </c>
      <c r="D22" s="12" t="inlineStr">
        <is>
          <t>NO</t>
        </is>
      </c>
      <c r="E22" s="14" t="inlineStr"/>
      <c r="F22" s="12">
        <f>IF(D22="SI","✔ ACCESO","✘ SIN ACCESO")</f>
        <v/>
      </c>
      <c r="G22" s="14" t="inlineStr"/>
    </row>
    <row r="23" ht="18" customHeight="1">
      <c r="A23" s="7" t="n">
        <v>19</v>
      </c>
      <c r="B23" s="8">
        <f>MAESTRO!B23</f>
        <v/>
      </c>
      <c r="C23" s="8">
        <f>MAESTRO!C23</f>
        <v/>
      </c>
      <c r="D23" s="12" t="inlineStr">
        <is>
          <t>NO</t>
        </is>
      </c>
      <c r="E23" s="13" t="inlineStr"/>
      <c r="F23" s="12">
        <f>IF(D23="SI","✔ ACCESO","✘ SIN ACCESO")</f>
        <v/>
      </c>
      <c r="G23" s="13" t="inlineStr"/>
    </row>
    <row r="24" ht="18" customHeight="1">
      <c r="A24" s="5" t="n">
        <v>20</v>
      </c>
      <c r="B24" s="6">
        <f>MAESTRO!B24</f>
        <v/>
      </c>
      <c r="C24" s="6">
        <f>MAESTRO!C24</f>
        <v/>
      </c>
      <c r="D24" s="12" t="inlineStr">
        <is>
          <t>NO</t>
        </is>
      </c>
      <c r="E24" s="14" t="inlineStr"/>
      <c r="F24" s="12">
        <f>IF(D24="SI","✔ ACCESO","✘ SIN ACCESO")</f>
        <v/>
      </c>
      <c r="G24" s="14" t="inlineStr"/>
    </row>
    <row r="25" ht="18" customHeight="1">
      <c r="A25" s="7" t="n">
        <v>21</v>
      </c>
      <c r="B25" s="8">
        <f>MAESTRO!B25</f>
        <v/>
      </c>
      <c r="C25" s="8">
        <f>MAESTRO!C25</f>
        <v/>
      </c>
      <c r="D25" s="12" t="inlineStr">
        <is>
          <t>NO</t>
        </is>
      </c>
      <c r="E25" s="13" t="inlineStr"/>
      <c r="F25" s="12">
        <f>IF(D25="SI","✔ ACCESO","✘ SIN ACCESO")</f>
        <v/>
      </c>
      <c r="G25" s="13" t="inlineStr"/>
    </row>
    <row r="26" ht="22" customHeight="1">
      <c r="A26" s="15" t="inlineStr">
        <is>
          <t>RESUMEN DEL PERÍODO</t>
        </is>
      </c>
      <c r="D26" s="16">
        <f>COUNTIF(D5:D25,"SI")</f>
        <v/>
      </c>
      <c r="E26" s="16" t="inlineStr">
        <is>
          <t>✔ Con acceso</t>
        </is>
      </c>
    </row>
    <row r="27" ht="22" customHeight="1">
      <c r="A27" s="17" t="inlineStr">
        <is>
          <t>Sin planilla recibida</t>
        </is>
      </c>
      <c r="D27" s="18">
        <f>COUNTIF(D5:D25,"NO")</f>
        <v/>
      </c>
      <c r="E27" s="18" t="inlineStr">
        <is>
          <t>✘ Sin acceso</t>
        </is>
      </c>
    </row>
    <row r="29">
      <c r="A29" s="19" t="inlineStr">
        <is>
          <t>📋  Instrucciones: Complete celdas en AMARILLO. En 'Planilla IESS recibida' escriba SI o NO.</t>
        </is>
      </c>
    </row>
  </sheetData>
  <mergeCells count="8">
    <mergeCell ref="A1:G1"/>
    <mergeCell ref="A3:G3"/>
    <mergeCell ref="E27:F27"/>
    <mergeCell ref="A27:C27"/>
    <mergeCell ref="A2:G2"/>
    <mergeCell ref="A29:G29"/>
    <mergeCell ref="E26:F26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2026-10-22T15:00:47Z</dcterms:created>
  <dcterms:modified xsi:type="dcterms:W3CDTF">2026-10-22T15:00:48Z</dcterms:modified>
</cp:coreProperties>
</file>